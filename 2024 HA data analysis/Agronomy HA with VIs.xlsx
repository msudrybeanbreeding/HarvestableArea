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57e8e51f5afe1d/Desktop/MSc/Harvestable Area Paper/2024 HA data analysis/"/>
    </mc:Choice>
  </mc:AlternateContent>
  <xr:revisionPtr revIDLastSave="80" documentId="8_{16B612E8-FE87-4114-A971-10FE1E715254}" xr6:coauthVersionLast="47" xr6:coauthVersionMax="47" xr10:uidLastSave="{F3FC2467-6245-4C25-B4D0-C1A143281F50}"/>
  <bookViews>
    <workbookView xWindow="-120" yWindow="-120" windowWidth="38640" windowHeight="21120" xr2:uid="{4A2F74C9-73FA-47BA-BE13-0AF2D0680CB6}"/>
  </bookViews>
  <sheets>
    <sheet name="613 Agronomy All VIs + Thresh +" sheetId="1" r:id="rId1"/>
    <sheet name="Sheet1" sheetId="2" r:id="rId2"/>
  </sheets>
  <definedNames>
    <definedName name="_xlnm._FilterDatabase" localSheetId="0" hidden="1">'613 Agronomy All VIs + Thresh +'!$A$1:$AB$337</definedName>
  </definedNames>
  <calcPr calcId="0"/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2" i="1"/>
  <c r="K172" i="1"/>
  <c r="L172" i="1"/>
  <c r="K173" i="1"/>
  <c r="L173" i="1"/>
  <c r="K174" i="1"/>
  <c r="L174" i="1"/>
  <c r="K175" i="1"/>
  <c r="L175" i="1"/>
  <c r="K176" i="1"/>
  <c r="L176" i="1"/>
  <c r="K177" i="1"/>
  <c r="L177" i="1"/>
  <c r="K178" i="1"/>
  <c r="L178" i="1"/>
  <c r="K179" i="1"/>
  <c r="L179" i="1"/>
  <c r="K180" i="1"/>
  <c r="L180" i="1"/>
  <c r="K181" i="1"/>
  <c r="L181" i="1"/>
  <c r="K182" i="1"/>
  <c r="L182" i="1"/>
  <c r="K183" i="1"/>
  <c r="L183" i="1"/>
  <c r="K184" i="1"/>
  <c r="L184" i="1"/>
  <c r="K185" i="1"/>
  <c r="L185" i="1"/>
  <c r="K186" i="1"/>
  <c r="L186" i="1"/>
  <c r="K187" i="1"/>
  <c r="L187" i="1"/>
  <c r="K188" i="1"/>
  <c r="L188" i="1"/>
  <c r="K189" i="1"/>
  <c r="L189" i="1"/>
  <c r="K190" i="1"/>
  <c r="L190" i="1"/>
  <c r="K191" i="1"/>
  <c r="L191" i="1"/>
  <c r="K192" i="1"/>
  <c r="L192" i="1"/>
  <c r="K193" i="1"/>
  <c r="L193" i="1"/>
  <c r="K194" i="1"/>
  <c r="L194" i="1"/>
  <c r="K195" i="1"/>
  <c r="L195" i="1"/>
  <c r="K196" i="1"/>
  <c r="L196" i="1"/>
  <c r="K197" i="1"/>
  <c r="L197" i="1"/>
  <c r="K198" i="1"/>
  <c r="L198" i="1"/>
  <c r="K199" i="1"/>
  <c r="L199" i="1"/>
  <c r="K200" i="1"/>
  <c r="L200" i="1"/>
  <c r="K201" i="1"/>
  <c r="L201" i="1"/>
  <c r="K202" i="1"/>
  <c r="L202" i="1"/>
  <c r="K203" i="1"/>
  <c r="L203" i="1"/>
  <c r="K204" i="1"/>
  <c r="L204" i="1"/>
  <c r="K205" i="1"/>
  <c r="L205" i="1"/>
  <c r="K206" i="1"/>
  <c r="L206" i="1"/>
  <c r="K207" i="1"/>
  <c r="L207" i="1"/>
  <c r="K208" i="1"/>
  <c r="L208" i="1"/>
  <c r="K209" i="1"/>
  <c r="L209" i="1"/>
  <c r="K210" i="1"/>
  <c r="L210" i="1"/>
  <c r="K211" i="1"/>
  <c r="L211" i="1"/>
  <c r="K212" i="1"/>
  <c r="L212" i="1"/>
  <c r="K213" i="1"/>
  <c r="L213" i="1"/>
  <c r="K214" i="1"/>
  <c r="L214" i="1"/>
  <c r="K215" i="1"/>
  <c r="L215" i="1"/>
  <c r="K216" i="1"/>
  <c r="L216" i="1"/>
  <c r="K217" i="1"/>
  <c r="L217" i="1"/>
  <c r="K218" i="1"/>
  <c r="L218" i="1"/>
  <c r="K219" i="1"/>
  <c r="L219" i="1"/>
  <c r="K220" i="1"/>
  <c r="L220" i="1"/>
  <c r="K221" i="1"/>
  <c r="L221" i="1"/>
  <c r="K222" i="1"/>
  <c r="L222" i="1"/>
  <c r="K223" i="1"/>
  <c r="L223" i="1"/>
  <c r="K224" i="1"/>
  <c r="L224" i="1"/>
  <c r="K225" i="1"/>
  <c r="L225" i="1"/>
  <c r="K226" i="1"/>
  <c r="L226" i="1"/>
  <c r="K227" i="1"/>
  <c r="L227" i="1"/>
  <c r="K228" i="1"/>
  <c r="L228" i="1"/>
  <c r="K229" i="1"/>
  <c r="L229" i="1"/>
  <c r="K230" i="1"/>
  <c r="L230" i="1"/>
  <c r="K231" i="1"/>
  <c r="L231" i="1"/>
  <c r="K232" i="1"/>
  <c r="L232" i="1"/>
  <c r="K233" i="1"/>
  <c r="L233" i="1"/>
  <c r="K234" i="1"/>
  <c r="L234" i="1"/>
  <c r="K235" i="1"/>
  <c r="L235" i="1"/>
  <c r="K236" i="1"/>
  <c r="L236" i="1"/>
  <c r="K237" i="1"/>
  <c r="L237" i="1"/>
  <c r="K238" i="1"/>
  <c r="L238" i="1"/>
  <c r="K239" i="1"/>
  <c r="L239" i="1"/>
  <c r="K240" i="1"/>
  <c r="L240" i="1"/>
  <c r="K241" i="1"/>
  <c r="L241" i="1"/>
  <c r="K242" i="1"/>
  <c r="L242" i="1"/>
  <c r="K243" i="1"/>
  <c r="L243" i="1"/>
  <c r="K244" i="1"/>
  <c r="L244" i="1"/>
  <c r="K245" i="1"/>
  <c r="L245" i="1"/>
  <c r="K246" i="1"/>
  <c r="L246" i="1"/>
  <c r="K247" i="1"/>
  <c r="L247" i="1"/>
  <c r="K248" i="1"/>
  <c r="L248" i="1"/>
  <c r="K249" i="1"/>
  <c r="L249" i="1"/>
  <c r="K250" i="1"/>
  <c r="L250" i="1"/>
  <c r="K251" i="1"/>
  <c r="L251" i="1"/>
  <c r="K252" i="1"/>
  <c r="L252" i="1"/>
  <c r="K253" i="1"/>
  <c r="L253" i="1"/>
  <c r="K254" i="1"/>
  <c r="L254" i="1"/>
  <c r="K255" i="1"/>
  <c r="L255" i="1"/>
  <c r="K256" i="1"/>
  <c r="L256" i="1"/>
  <c r="K257" i="1"/>
  <c r="L257" i="1"/>
  <c r="K258" i="1"/>
  <c r="L258" i="1"/>
  <c r="K259" i="1"/>
  <c r="L259" i="1"/>
  <c r="K260" i="1"/>
  <c r="L260" i="1"/>
  <c r="K261" i="1"/>
  <c r="L261" i="1"/>
  <c r="K262" i="1"/>
  <c r="L262" i="1"/>
  <c r="K263" i="1"/>
  <c r="L263" i="1"/>
  <c r="K264" i="1"/>
  <c r="L264" i="1"/>
  <c r="K265" i="1"/>
  <c r="L265" i="1"/>
  <c r="K266" i="1"/>
  <c r="L266" i="1"/>
  <c r="K267" i="1"/>
  <c r="L267" i="1"/>
  <c r="K268" i="1"/>
  <c r="L268" i="1"/>
  <c r="K269" i="1"/>
  <c r="L269" i="1"/>
  <c r="K270" i="1"/>
  <c r="L270" i="1"/>
  <c r="K271" i="1"/>
  <c r="L271" i="1"/>
  <c r="K272" i="1"/>
  <c r="L272" i="1"/>
  <c r="K273" i="1"/>
  <c r="L273" i="1"/>
  <c r="K274" i="1"/>
  <c r="L274" i="1"/>
  <c r="K275" i="1"/>
  <c r="L275" i="1"/>
  <c r="K276" i="1"/>
  <c r="L276" i="1"/>
  <c r="K277" i="1"/>
  <c r="L277" i="1"/>
  <c r="K278" i="1"/>
  <c r="L278" i="1"/>
  <c r="K279" i="1"/>
  <c r="L279" i="1"/>
  <c r="K280" i="1"/>
  <c r="L280" i="1"/>
  <c r="K281" i="1"/>
  <c r="L281" i="1"/>
  <c r="K282" i="1"/>
  <c r="L282" i="1"/>
  <c r="K283" i="1"/>
  <c r="L283" i="1"/>
  <c r="K284" i="1"/>
  <c r="L284" i="1"/>
  <c r="K285" i="1"/>
  <c r="L285" i="1"/>
  <c r="K286" i="1"/>
  <c r="L286" i="1"/>
  <c r="K287" i="1"/>
  <c r="L287" i="1"/>
  <c r="K288" i="1"/>
  <c r="L288" i="1"/>
  <c r="K289" i="1"/>
  <c r="L289" i="1"/>
  <c r="K290" i="1"/>
  <c r="L290" i="1"/>
  <c r="K291" i="1"/>
  <c r="L291" i="1"/>
  <c r="K292" i="1"/>
  <c r="L292" i="1"/>
  <c r="K293" i="1"/>
  <c r="L293" i="1"/>
  <c r="K294" i="1"/>
  <c r="L294" i="1"/>
  <c r="K295" i="1"/>
  <c r="L295" i="1"/>
  <c r="K296" i="1"/>
  <c r="L296" i="1"/>
  <c r="K297" i="1"/>
  <c r="L297" i="1"/>
  <c r="K298" i="1"/>
  <c r="L298" i="1"/>
  <c r="K299" i="1"/>
  <c r="L299" i="1"/>
  <c r="K300" i="1"/>
  <c r="L300" i="1"/>
  <c r="K301" i="1"/>
  <c r="L301" i="1"/>
  <c r="K302" i="1"/>
  <c r="L302" i="1"/>
  <c r="K303" i="1"/>
  <c r="L303" i="1"/>
  <c r="K304" i="1"/>
  <c r="L304" i="1"/>
  <c r="K305" i="1"/>
  <c r="L305" i="1"/>
  <c r="K306" i="1"/>
  <c r="L306" i="1"/>
  <c r="K307" i="1"/>
  <c r="L307" i="1"/>
  <c r="K308" i="1"/>
  <c r="L308" i="1"/>
  <c r="K309" i="1"/>
  <c r="L309" i="1"/>
  <c r="K310" i="1"/>
  <c r="L310" i="1"/>
  <c r="K311" i="1"/>
  <c r="L311" i="1"/>
  <c r="K312" i="1"/>
  <c r="L312" i="1"/>
  <c r="K313" i="1"/>
  <c r="L313" i="1"/>
  <c r="K314" i="1"/>
  <c r="L314" i="1"/>
  <c r="K315" i="1"/>
  <c r="L315" i="1"/>
  <c r="K316" i="1"/>
  <c r="L316" i="1"/>
  <c r="K317" i="1"/>
  <c r="L317" i="1"/>
  <c r="K318" i="1"/>
  <c r="L318" i="1"/>
  <c r="K319" i="1"/>
  <c r="L319" i="1"/>
  <c r="K320" i="1"/>
  <c r="L320" i="1"/>
  <c r="K321" i="1"/>
  <c r="L321" i="1"/>
  <c r="K322" i="1"/>
  <c r="L322" i="1"/>
  <c r="K323" i="1"/>
  <c r="L323" i="1"/>
  <c r="K324" i="1"/>
  <c r="L324" i="1"/>
  <c r="K325" i="1"/>
  <c r="L325" i="1"/>
  <c r="K326" i="1"/>
  <c r="L326" i="1"/>
  <c r="K327" i="1"/>
  <c r="L327" i="1"/>
  <c r="K328" i="1"/>
  <c r="L328" i="1"/>
  <c r="K329" i="1"/>
  <c r="L329" i="1"/>
  <c r="K330" i="1"/>
  <c r="L330" i="1"/>
  <c r="K331" i="1"/>
  <c r="L331" i="1"/>
  <c r="K332" i="1"/>
  <c r="L332" i="1"/>
  <c r="K333" i="1"/>
  <c r="L333" i="1"/>
  <c r="K334" i="1"/>
  <c r="L334" i="1"/>
  <c r="K335" i="1"/>
  <c r="L335" i="1"/>
  <c r="K336" i="1"/>
  <c r="L336" i="1"/>
  <c r="K337" i="1"/>
  <c r="L337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AB360" i="2" a="1"/>
  <c r="AB360" i="2" s="1"/>
  <c r="Z360" i="2"/>
  <c r="AA360" i="2" s="1"/>
  <c r="Z359" i="2"/>
  <c r="Z358" i="2"/>
  <c r="AB357" i="2" a="1"/>
  <c r="AB357" i="2" s="1"/>
  <c r="Z357" i="2"/>
  <c r="AA357" i="2" s="1"/>
  <c r="Z356" i="2"/>
  <c r="AA356" i="2" s="1"/>
  <c r="AB356" i="2" s="1" a="1"/>
  <c r="AB356" i="2" s="1"/>
  <c r="AB355" i="2" a="1"/>
  <c r="AB355" i="2" s="1"/>
  <c r="Z355" i="2"/>
  <c r="AA355" i="2" s="1"/>
  <c r="Z354" i="2"/>
  <c r="AA354" i="2" s="1"/>
  <c r="AB354" i="2" s="1" a="1"/>
  <c r="AB354" i="2" s="1"/>
  <c r="AB353" i="2" a="1"/>
  <c r="AB353" i="2" s="1"/>
  <c r="Z353" i="2"/>
  <c r="AA353" i="2" s="1"/>
  <c r="Z352" i="2"/>
  <c r="AA352" i="2" s="1"/>
  <c r="AB352" i="2" s="1" a="1"/>
  <c r="AB352" i="2" s="1"/>
  <c r="Z351" i="2"/>
  <c r="AA351" i="2" s="1"/>
  <c r="AB351" i="2" s="1" a="1"/>
  <c r="AB351" i="2" s="1"/>
  <c r="AB350" i="2" a="1"/>
  <c r="AB350" i="2" s="1"/>
  <c r="AA350" i="2"/>
  <c r="Z350" i="2"/>
  <c r="Z349" i="2"/>
  <c r="AA349" i="2" s="1"/>
  <c r="AB349" i="2" s="1" a="1"/>
  <c r="AB349" i="2" s="1"/>
  <c r="AB347" i="2" a="1"/>
  <c r="AB347" i="2" s="1"/>
  <c r="Z347" i="2"/>
  <c r="AA347" i="2" s="1"/>
  <c r="AB346" i="2" a="1"/>
  <c r="AB346" i="2" s="1"/>
  <c r="Z346" i="2"/>
  <c r="AA346" i="2" s="1"/>
  <c r="AB344" i="2" a="1"/>
  <c r="AB344" i="2" s="1"/>
  <c r="AA344" i="2"/>
  <c r="Z344" i="2"/>
  <c r="AB343" i="2" a="1"/>
  <c r="AB343" i="2" s="1"/>
  <c r="Z343" i="2"/>
  <c r="AA343" i="2" s="1"/>
  <c r="AB342" i="2" a="1"/>
  <c r="AB342" i="2" s="1"/>
  <c r="Z342" i="2"/>
  <c r="AA342" i="2" s="1"/>
  <c r="AB341" i="2" a="1"/>
  <c r="AB341" i="2" s="1"/>
  <c r="Z341" i="2"/>
  <c r="AA341" i="2" s="1"/>
  <c r="Z340" i="2"/>
  <c r="AA340" i="2" s="1"/>
  <c r="AB340" i="2" s="1" a="1"/>
  <c r="AB340" i="2" s="1"/>
  <c r="Z339" i="2"/>
  <c r="AB338" i="2" a="1"/>
  <c r="AB338" i="2" s="1"/>
  <c r="Z338" i="2"/>
  <c r="AA338" i="2" s="1"/>
  <c r="AB337" i="2" a="1"/>
  <c r="AB337" i="2" s="1"/>
  <c r="AA337" i="2"/>
  <c r="Z337" i="2"/>
  <c r="AB336" i="2"/>
  <c r="AB336" i="2" a="1"/>
  <c r="Z336" i="2"/>
  <c r="AA336" i="2" s="1"/>
  <c r="Z335" i="2"/>
  <c r="Z334" i="2"/>
  <c r="AA334" i="2" s="1"/>
  <c r="AB334" i="2" s="1" a="1"/>
  <c r="AB334" i="2" s="1"/>
  <c r="Z333" i="2"/>
  <c r="AA332" i="2"/>
  <c r="AB332" i="2" s="1" a="1"/>
  <c r="AB332" i="2" s="1"/>
  <c r="Z332" i="2"/>
  <c r="AB330" i="2" a="1"/>
  <c r="AB330" i="2" s="1"/>
  <c r="Z330" i="2"/>
  <c r="AA330" i="2" s="1"/>
  <c r="Z329" i="2"/>
  <c r="Z328" i="2"/>
  <c r="AA328" i="2" s="1"/>
  <c r="AB328" i="2" s="1" a="1"/>
  <c r="AB328" i="2" s="1"/>
  <c r="AB327" i="2" a="1"/>
  <c r="AB327" i="2" s="1"/>
  <c r="Z327" i="2"/>
  <c r="AA327" i="2" s="1"/>
  <c r="AB326" i="2" a="1"/>
  <c r="AB326" i="2" s="1"/>
  <c r="AA326" i="2"/>
  <c r="Z326" i="2"/>
  <c r="AB325" i="2" a="1"/>
  <c r="AB325" i="2" s="1"/>
  <c r="Z325" i="2"/>
  <c r="AA325" i="2" s="1"/>
  <c r="AB324" i="2" a="1"/>
  <c r="AB324" i="2" s="1"/>
  <c r="Z324" i="2"/>
  <c r="AA324" i="2" s="1"/>
  <c r="AB323" i="2" a="1"/>
  <c r="AB323" i="2" s="1"/>
  <c r="Z323" i="2"/>
  <c r="AA323" i="2" s="1"/>
  <c r="AB322" i="2" a="1"/>
  <c r="AB322" i="2" s="1"/>
  <c r="Z322" i="2"/>
  <c r="AA322" i="2" s="1"/>
  <c r="AB321" i="2" a="1"/>
  <c r="AB321" i="2" s="1"/>
  <c r="Z321" i="2"/>
  <c r="AA321" i="2" s="1"/>
  <c r="AB320" i="2" a="1"/>
  <c r="AB320" i="2" s="1"/>
  <c r="Z320" i="2"/>
  <c r="AA320" i="2" s="1"/>
  <c r="AB319" i="2" a="1"/>
  <c r="AB319" i="2" s="1"/>
  <c r="Z319" i="2"/>
  <c r="AA319" i="2" s="1"/>
  <c r="AB318" i="2" a="1"/>
  <c r="AB318" i="2" s="1"/>
  <c r="AA318" i="2"/>
  <c r="Z318" i="2"/>
  <c r="AB317" i="2" a="1"/>
  <c r="AB317" i="2" s="1"/>
  <c r="Z317" i="2"/>
  <c r="AA317" i="2" s="1"/>
  <c r="Z315" i="2"/>
  <c r="AA315" i="2" s="1"/>
  <c r="AB315" i="2" s="1" a="1"/>
  <c r="AB315" i="2" s="1"/>
  <c r="AB314" i="2" a="1"/>
  <c r="AB314" i="2" s="1"/>
  <c r="Z314" i="2"/>
  <c r="AA314" i="2" s="1"/>
  <c r="AB313" i="2" a="1"/>
  <c r="AB313" i="2" s="1"/>
  <c r="AA313" i="2"/>
  <c r="Z313" i="2"/>
  <c r="AB312" i="2" a="1"/>
  <c r="AB312" i="2" s="1"/>
  <c r="Z312" i="2"/>
  <c r="AA312" i="2" s="1"/>
  <c r="AB311" i="2" a="1"/>
  <c r="AB311" i="2" s="1"/>
  <c r="Z311" i="2"/>
  <c r="AA311" i="2" s="1"/>
  <c r="Z310" i="2"/>
  <c r="AA310" i="2" s="1"/>
  <c r="AB310" i="2" s="1" a="1"/>
  <c r="AB310" i="2" s="1"/>
  <c r="AB309" i="2" a="1"/>
  <c r="AB309" i="2" s="1"/>
  <c r="Z309" i="2"/>
  <c r="AA309" i="2" s="1"/>
  <c r="AB308" i="2" a="1"/>
  <c r="AB308" i="2" s="1"/>
  <c r="Z308" i="2"/>
  <c r="AA308" i="2" s="1"/>
  <c r="Z307" i="2"/>
  <c r="AA306" i="2"/>
  <c r="AB306" i="2" s="1" a="1"/>
  <c r="AB306" i="2" s="1"/>
  <c r="Z306" i="2"/>
  <c r="AB305" i="2" a="1"/>
  <c r="AB305" i="2" s="1"/>
  <c r="Z305" i="2"/>
  <c r="AA305" i="2" s="1"/>
  <c r="AB304" i="2" a="1"/>
  <c r="AB304" i="2" s="1"/>
  <c r="Z304" i="2"/>
  <c r="AA304" i="2" s="1"/>
  <c r="AB303" i="2" a="1"/>
  <c r="AB303" i="2" s="1"/>
  <c r="Z303" i="2"/>
  <c r="AA303" i="2" s="1"/>
  <c r="AB302" i="2" a="1"/>
  <c r="AB302" i="2" s="1"/>
  <c r="Z302" i="2"/>
  <c r="AA302" i="2" s="1"/>
  <c r="AB301" i="2" a="1"/>
  <c r="AB301" i="2" s="1"/>
  <c r="Z301" i="2"/>
  <c r="AA301" i="2" s="1"/>
  <c r="Z300" i="2"/>
  <c r="AA300" i="2" s="1"/>
  <c r="AB300" i="2" s="1" a="1"/>
  <c r="AB300" i="2" s="1"/>
  <c r="AB299" i="2" a="1"/>
  <c r="AB299" i="2" s="1"/>
  <c r="AA299" i="2"/>
  <c r="Z299" i="2"/>
  <c r="AB298" i="2"/>
  <c r="AB298" i="2" a="1"/>
  <c r="Z298" i="2"/>
  <c r="AA298" i="2" s="1"/>
  <c r="AB297" i="2" a="1"/>
  <c r="AB297" i="2" s="1"/>
  <c r="Z297" i="2"/>
  <c r="AA297" i="2" s="1"/>
  <c r="AB296" i="2"/>
  <c r="AB296" i="2" a="1"/>
  <c r="Z296" i="2"/>
  <c r="AA296" i="2" s="1"/>
  <c r="AB295" i="2" a="1"/>
  <c r="AB295" i="2" s="1"/>
  <c r="Z295" i="2"/>
  <c r="AA295" i="2" s="1"/>
  <c r="Z294" i="2"/>
  <c r="AA294" i="2" s="1"/>
  <c r="AB294" i="2" s="1" a="1"/>
  <c r="AB294" i="2" s="1"/>
  <c r="Z293" i="2"/>
  <c r="Z292" i="2"/>
  <c r="AA292" i="2" s="1"/>
  <c r="AB292" i="2" s="1" a="1"/>
  <c r="AB292" i="2" s="1"/>
  <c r="AB291" i="2" a="1"/>
  <c r="AB291" i="2" s="1"/>
  <c r="Z291" i="2"/>
  <c r="AA291" i="2" s="1"/>
  <c r="AB290" i="2" a="1"/>
  <c r="AB290" i="2" s="1"/>
  <c r="Z290" i="2"/>
  <c r="AA290" i="2" s="1"/>
  <c r="AB289" i="2" a="1"/>
  <c r="AB289" i="2" s="1"/>
  <c r="Z289" i="2"/>
  <c r="AA289" i="2" s="1"/>
  <c r="AA287" i="2"/>
  <c r="AB287" i="2" s="1" a="1"/>
  <c r="AB287" i="2" s="1"/>
  <c r="Z287" i="2"/>
  <c r="AB286" i="2" a="1"/>
  <c r="AB286" i="2" s="1"/>
  <c r="Z286" i="2"/>
  <c r="AA286" i="2" s="1"/>
  <c r="Z284" i="2"/>
  <c r="AA284" i="2" s="1"/>
  <c r="AB284" i="2" s="1" a="1"/>
  <c r="AB284" i="2" s="1"/>
  <c r="AB283" i="2" a="1"/>
  <c r="AB283" i="2" s="1"/>
  <c r="Z283" i="2"/>
  <c r="AA283" i="2" s="1"/>
  <c r="Z282" i="2"/>
  <c r="AA282" i="2" s="1"/>
  <c r="AB282" i="2" s="1" a="1"/>
  <c r="AB282" i="2" s="1"/>
  <c r="Z281" i="2"/>
  <c r="AA281" i="2" s="1"/>
  <c r="AB281" i="2" s="1" a="1"/>
  <c r="AB281" i="2" s="1"/>
  <c r="AB280" i="2" a="1"/>
  <c r="AB280" i="2" s="1"/>
  <c r="Z280" i="2"/>
  <c r="AA280" i="2" s="1"/>
  <c r="AB279" i="2" a="1"/>
  <c r="AB279" i="2" s="1"/>
  <c r="Z279" i="2"/>
  <c r="AA279" i="2" s="1"/>
  <c r="Z278" i="2"/>
  <c r="Z277" i="2"/>
  <c r="AA277" i="2" s="1"/>
  <c r="AB277" i="2" s="1" a="1"/>
  <c r="AB277" i="2" s="1"/>
  <c r="AB276" i="2" a="1"/>
  <c r="AB276" i="2" s="1"/>
  <c r="AA276" i="2"/>
  <c r="Z276" i="2"/>
  <c r="Z275" i="2"/>
  <c r="AA275" i="2" s="1"/>
  <c r="AB275" i="2" s="1" a="1"/>
  <c r="AB275" i="2" s="1"/>
  <c r="Z274" i="2"/>
  <c r="AA274" i="2" s="1"/>
  <c r="AB274" i="2" s="1" a="1"/>
  <c r="AB274" i="2" s="1"/>
  <c r="AA273" i="2"/>
  <c r="AB273" i="2" s="1" a="1"/>
  <c r="AB273" i="2" s="1"/>
  <c r="Z273" i="2"/>
  <c r="Z272" i="2"/>
  <c r="AA272" i="2" s="1"/>
  <c r="AB272" i="2" s="1" a="1"/>
  <c r="AB272" i="2" s="1"/>
  <c r="AB271" i="2" a="1"/>
  <c r="AB271" i="2" s="1"/>
  <c r="Z271" i="2"/>
  <c r="AA271" i="2" s="1"/>
  <c r="AB270" i="2"/>
  <c r="AB270" i="2" a="1"/>
  <c r="AA270" i="2"/>
  <c r="Z270" i="2"/>
  <c r="AB269" i="2" a="1"/>
  <c r="AB269" i="2" s="1"/>
  <c r="Z269" i="2"/>
  <c r="AA269" i="2" s="1"/>
  <c r="AB268" i="2" a="1"/>
  <c r="AB268" i="2" s="1"/>
  <c r="Z268" i="2"/>
  <c r="AA268" i="2" s="1"/>
  <c r="Z267" i="2"/>
  <c r="AA267" i="2" s="1"/>
  <c r="AB267" i="2" s="1" a="1"/>
  <c r="AB267" i="2" s="1"/>
  <c r="AB266" i="2" a="1"/>
  <c r="AB266" i="2" s="1"/>
  <c r="AA266" i="2"/>
  <c r="Z266" i="2"/>
  <c r="Z265" i="2"/>
  <c r="AA265" i="2" s="1"/>
  <c r="AB265" i="2" s="1" a="1"/>
  <c r="AB265" i="2" s="1"/>
  <c r="Z264" i="2"/>
  <c r="AA264" i="2" s="1"/>
  <c r="AB264" i="2" s="1" a="1"/>
  <c r="AB264" i="2" s="1"/>
  <c r="AB263" i="2" a="1"/>
  <c r="AB263" i="2" s="1"/>
  <c r="Z263" i="2"/>
  <c r="AA263" i="2" s="1"/>
  <c r="AB262" i="2" a="1"/>
  <c r="AB262" i="2" s="1"/>
  <c r="Z262" i="2"/>
  <c r="AA262" i="2" s="1"/>
  <c r="Z261" i="2"/>
  <c r="AA261" i="2" s="1"/>
  <c r="AB261" i="2" s="1" a="1"/>
  <c r="AB261" i="2" s="1"/>
  <c r="AB260" i="2" a="1"/>
  <c r="AB260" i="2" s="1"/>
  <c r="Z260" i="2"/>
  <c r="AA260" i="2" s="1"/>
  <c r="AB259" i="2" a="1"/>
  <c r="AB259" i="2" s="1"/>
  <c r="Z259" i="2"/>
  <c r="AA259" i="2" s="1"/>
  <c r="AB258" i="2" a="1"/>
  <c r="AB258" i="2" s="1"/>
  <c r="AA258" i="2"/>
  <c r="Z258" i="2"/>
  <c r="AB257" i="2" a="1"/>
  <c r="AB257" i="2" s="1"/>
  <c r="Z257" i="2"/>
  <c r="AA257" i="2" s="1"/>
  <c r="Z256" i="2"/>
  <c r="AA256" i="2" s="1"/>
  <c r="AB256" i="2" s="1" a="1"/>
  <c r="AB256" i="2" s="1"/>
  <c r="AB255" i="2" a="1"/>
  <c r="AB255" i="2" s="1"/>
  <c r="Z255" i="2"/>
  <c r="AA255" i="2" s="1"/>
  <c r="AB254" i="2" a="1"/>
  <c r="AB254" i="2" s="1"/>
  <c r="Z254" i="2"/>
  <c r="AA254" i="2" s="1"/>
  <c r="AB253" i="2" a="1"/>
  <c r="AB253" i="2" s="1"/>
  <c r="Z253" i="2"/>
  <c r="AA253" i="2" s="1"/>
  <c r="AB252" i="2" a="1"/>
  <c r="AB252" i="2" s="1"/>
  <c r="Z252" i="2"/>
  <c r="AA252" i="2" s="1"/>
  <c r="AB251" i="2" a="1"/>
  <c r="AB251" i="2" s="1"/>
  <c r="Z251" i="2"/>
  <c r="AA251" i="2" s="1"/>
  <c r="AB250" i="2"/>
  <c r="AB250" i="2" a="1"/>
  <c r="Z250" i="2"/>
  <c r="AA250" i="2" s="1"/>
  <c r="Z249" i="2"/>
  <c r="AA249" i="2" s="1"/>
  <c r="AB249" i="2" s="1" a="1"/>
  <c r="AB249" i="2" s="1"/>
  <c r="AB248" i="2"/>
  <c r="AB248" i="2" a="1"/>
  <c r="Z248" i="2"/>
  <c r="AA248" i="2" s="1"/>
  <c r="AB247" i="2" a="1"/>
  <c r="AB247" i="2" s="1"/>
  <c r="AA247" i="2"/>
  <c r="Z247" i="2"/>
  <c r="AB246" i="2" a="1"/>
  <c r="AB246" i="2" s="1"/>
  <c r="AA246" i="2"/>
  <c r="Z246" i="2"/>
  <c r="AB245" i="2" a="1"/>
  <c r="AB245" i="2" s="1"/>
  <c r="Z245" i="2"/>
  <c r="AA245" i="2" s="1"/>
  <c r="AB244" i="2" a="1"/>
  <c r="AB244" i="2" s="1"/>
  <c r="Z244" i="2"/>
  <c r="AA244" i="2" s="1"/>
  <c r="AB243" i="2" a="1"/>
  <c r="AB243" i="2" s="1"/>
  <c r="Z243" i="2"/>
  <c r="AA243" i="2" s="1"/>
  <c r="AB242" i="2" a="1"/>
  <c r="AB242" i="2" s="1"/>
  <c r="AA242" i="2"/>
  <c r="Z242" i="2"/>
  <c r="AB241" i="2" a="1"/>
  <c r="AB241" i="2" s="1"/>
  <c r="Z241" i="2"/>
  <c r="AA241" i="2" s="1"/>
  <c r="AB240" i="2" a="1"/>
  <c r="AB240" i="2" s="1"/>
  <c r="Z240" i="2"/>
  <c r="AA240" i="2" s="1"/>
  <c r="AB239" i="2" a="1"/>
  <c r="AB239" i="2" s="1"/>
  <c r="Z239" i="2"/>
  <c r="AA239" i="2" s="1"/>
  <c r="AB238" i="2" a="1"/>
  <c r="AB238" i="2" s="1"/>
  <c r="Z238" i="2"/>
  <c r="AA238" i="2" s="1"/>
  <c r="Z237" i="2"/>
  <c r="AB236" i="2" a="1"/>
  <c r="AB236" i="2" s="1"/>
  <c r="Z236" i="2"/>
  <c r="AA236" i="2" s="1"/>
  <c r="AB235" i="2" a="1"/>
  <c r="AB235" i="2" s="1"/>
  <c r="Z235" i="2"/>
  <c r="AA235" i="2" s="1"/>
  <c r="AB234" i="2" a="1"/>
  <c r="AB234" i="2" s="1"/>
  <c r="Z234" i="2"/>
  <c r="AA234" i="2" s="1"/>
  <c r="AB233" i="2"/>
  <c r="AB233" i="2" a="1"/>
  <c r="Z233" i="2"/>
  <c r="AA233" i="2" s="1"/>
  <c r="AB232" i="2" a="1"/>
  <c r="AB232" i="2" s="1"/>
  <c r="Z232" i="2"/>
  <c r="AA232" i="2" s="1"/>
  <c r="Z231" i="2"/>
  <c r="AA231" i="2" s="1"/>
  <c r="AB231" i="2" s="1" a="1"/>
  <c r="AB231" i="2" s="1"/>
  <c r="AB230" i="2" a="1"/>
  <c r="AB230" i="2" s="1"/>
  <c r="Z230" i="2"/>
  <c r="AA230" i="2" s="1"/>
  <c r="AB229" i="2" a="1"/>
  <c r="AB229" i="2" s="1"/>
  <c r="Z229" i="2"/>
  <c r="AA229" i="2" s="1"/>
  <c r="AB228" i="2" a="1"/>
  <c r="AB228" i="2" s="1"/>
  <c r="Z228" i="2"/>
  <c r="AA228" i="2" s="1"/>
  <c r="AB227" i="2" a="1"/>
  <c r="AB227" i="2" s="1"/>
  <c r="Z227" i="2"/>
  <c r="AA227" i="2" s="1"/>
  <c r="Z226" i="2"/>
  <c r="AA226" i="2" s="1"/>
  <c r="AB226" i="2" s="1" a="1"/>
  <c r="AB226" i="2" s="1"/>
  <c r="AB225" i="2" a="1"/>
  <c r="AB225" i="2" s="1"/>
  <c r="Z225" i="2"/>
  <c r="AA225" i="2" s="1"/>
  <c r="AB224" i="2" a="1"/>
  <c r="AB224" i="2" s="1"/>
  <c r="Z224" i="2"/>
  <c r="AA224" i="2" s="1"/>
  <c r="AB223" i="2" a="1"/>
  <c r="AB223" i="2" s="1"/>
  <c r="Z223" i="2"/>
  <c r="AA223" i="2" s="1"/>
  <c r="AB222" i="2" a="1"/>
  <c r="AB222" i="2" s="1"/>
  <c r="Z222" i="2"/>
  <c r="AA222" i="2" s="1"/>
  <c r="AB221" i="2"/>
  <c r="AB221" i="2" a="1"/>
  <c r="Z221" i="2"/>
  <c r="AA221" i="2" s="1"/>
  <c r="AB220" i="2" a="1"/>
  <c r="AB220" i="2" s="1"/>
  <c r="Z220" i="2"/>
  <c r="AA220" i="2" s="1"/>
  <c r="AB219" i="2" a="1"/>
  <c r="AB219" i="2" s="1"/>
  <c r="Z219" i="2"/>
  <c r="AA219" i="2" s="1"/>
  <c r="Z218" i="2"/>
  <c r="AA218" i="2" s="1"/>
  <c r="AB218" i="2" s="1" a="1"/>
  <c r="AB218" i="2" s="1"/>
  <c r="AB217" i="2" a="1"/>
  <c r="AB217" i="2" s="1"/>
  <c r="Z217" i="2"/>
  <c r="AA217" i="2" s="1"/>
  <c r="Z216" i="2"/>
  <c r="AA216" i="2" s="1"/>
  <c r="AB216" i="2" s="1" a="1"/>
  <c r="AB216" i="2" s="1"/>
  <c r="AB215" i="2" a="1"/>
  <c r="AB215" i="2" s="1"/>
  <c r="Z215" i="2"/>
  <c r="AA215" i="2" s="1"/>
  <c r="AB214" i="2" a="1"/>
  <c r="AB214" i="2" s="1"/>
  <c r="Z214" i="2"/>
  <c r="AA214" i="2" s="1"/>
  <c r="Z213" i="2"/>
  <c r="AA213" i="2" s="1"/>
  <c r="AB213" i="2" s="1" a="1"/>
  <c r="AB213" i="2" s="1"/>
  <c r="AB212" i="2" a="1"/>
  <c r="AB212" i="2" s="1"/>
  <c r="Z212" i="2"/>
  <c r="AA212" i="2" s="1"/>
  <c r="AB211" i="2" a="1"/>
  <c r="AB211" i="2" s="1"/>
  <c r="Z211" i="2"/>
  <c r="AA211" i="2" s="1"/>
  <c r="Z210" i="2"/>
  <c r="AA210" i="2" s="1"/>
  <c r="AB210" i="2" s="1" a="1"/>
  <c r="AB210" i="2" s="1"/>
  <c r="Z209" i="2"/>
  <c r="AA209" i="2" s="1"/>
  <c r="AB209" i="2" s="1" a="1"/>
  <c r="AB209" i="2" s="1"/>
  <c r="Z208" i="2"/>
  <c r="AA208" i="2" s="1"/>
  <c r="AB208" i="2" s="1" a="1"/>
  <c r="AB208" i="2" s="1"/>
  <c r="Z207" i="2"/>
  <c r="AA207" i="2" s="1"/>
  <c r="AB207" i="2" s="1" a="1"/>
  <c r="AB207" i="2" s="1"/>
  <c r="AB206" i="2" a="1"/>
  <c r="AB206" i="2" s="1"/>
  <c r="Z206" i="2"/>
  <c r="AA206" i="2" s="1"/>
  <c r="Z205" i="2"/>
  <c r="AA205" i="2" s="1"/>
  <c r="AB205" i="2" s="1" a="1"/>
  <c r="AB205" i="2" s="1"/>
  <c r="Z204" i="2"/>
  <c r="AA204" i="2" s="1"/>
  <c r="AB204" i="2" s="1" a="1"/>
  <c r="AB204" i="2" s="1"/>
  <c r="Z203" i="2"/>
  <c r="AA203" i="2" s="1"/>
  <c r="AB203" i="2" s="1" a="1"/>
  <c r="AB203" i="2" s="1"/>
  <c r="Z202" i="2"/>
  <c r="AA202" i="2" s="1"/>
  <c r="AB202" i="2" s="1" a="1"/>
  <c r="AB202" i="2" s="1"/>
  <c r="Z201" i="2"/>
  <c r="AA201" i="2" s="1"/>
  <c r="AB201" i="2" s="1" a="1"/>
  <c r="AB201" i="2" s="1"/>
  <c r="Z200" i="2"/>
  <c r="AA200" i="2" s="1"/>
  <c r="AB200" i="2" s="1" a="1"/>
  <c r="AB200" i="2" s="1"/>
  <c r="Z199" i="2"/>
  <c r="AA199" i="2" s="1"/>
  <c r="AB199" i="2" s="1" a="1"/>
  <c r="AB199" i="2" s="1"/>
  <c r="Z198" i="2"/>
  <c r="AA198" i="2" s="1"/>
  <c r="AB198" i="2" s="1" a="1"/>
  <c r="AB198" i="2" s="1"/>
  <c r="AB197" i="2"/>
  <c r="AB197" i="2" a="1"/>
  <c r="Z197" i="2"/>
  <c r="AA197" i="2" s="1"/>
  <c r="Z196" i="2"/>
  <c r="AA196" i="2" s="1"/>
  <c r="AB196" i="2" s="1" a="1"/>
  <c r="AB196" i="2" s="1"/>
  <c r="Z195" i="2"/>
  <c r="AA195" i="2" s="1"/>
  <c r="AB195" i="2" s="1" a="1"/>
  <c r="AB195" i="2" s="1"/>
  <c r="Z194" i="2"/>
  <c r="AA194" i="2" s="1"/>
  <c r="AB194" i="2" s="1" a="1"/>
  <c r="AB194" i="2" s="1"/>
  <c r="Z193" i="2"/>
  <c r="AA193" i="2" s="1"/>
  <c r="AB193" i="2" s="1" a="1"/>
  <c r="AB193" i="2" s="1"/>
  <c r="AB192" i="2" a="1"/>
  <c r="AB192" i="2" s="1"/>
  <c r="Z192" i="2"/>
  <c r="AA192" i="2" s="1"/>
  <c r="AB191" i="2" a="1"/>
  <c r="AB191" i="2" s="1"/>
  <c r="Z191" i="2"/>
  <c r="AA191" i="2" s="1"/>
  <c r="Z190" i="2"/>
  <c r="AA190" i="2" s="1"/>
  <c r="AB190" i="2" s="1" a="1"/>
  <c r="AB190" i="2" s="1"/>
  <c r="AB189" i="2" a="1"/>
  <c r="AB189" i="2" s="1"/>
  <c r="Z189" i="2"/>
  <c r="AA189" i="2" s="1"/>
  <c r="AB188" i="2" a="1"/>
  <c r="AB188" i="2" s="1"/>
  <c r="Z188" i="2"/>
  <c r="AA188" i="2" s="1"/>
  <c r="Z187" i="2"/>
  <c r="AA187" i="2" s="1"/>
  <c r="AB187" i="2" s="1" a="1"/>
  <c r="AB187" i="2" s="1"/>
  <c r="AB186" i="2" a="1"/>
  <c r="AB186" i="2" s="1"/>
  <c r="Z186" i="2"/>
  <c r="AA186" i="2" s="1"/>
  <c r="Z185" i="2"/>
  <c r="AA185" i="2" s="1"/>
  <c r="AB185" i="2" s="1" a="1"/>
  <c r="AB185" i="2" s="1"/>
  <c r="Z184" i="2"/>
  <c r="AA184" i="2" s="1"/>
  <c r="AB184" i="2" s="1" a="1"/>
  <c r="AB184" i="2" s="1"/>
  <c r="Z183" i="2"/>
  <c r="AA183" i="2" s="1"/>
  <c r="AB183" i="2" s="1" a="1"/>
  <c r="AB183" i="2" s="1"/>
  <c r="AB182" i="2" a="1"/>
  <c r="AB182" i="2" s="1"/>
  <c r="Z182" i="2"/>
  <c r="AA182" i="2" s="1"/>
  <c r="AB181" i="2" a="1"/>
  <c r="AB181" i="2" s="1"/>
  <c r="Z181" i="2"/>
  <c r="AA181" i="2" s="1"/>
  <c r="AB180" i="2" a="1"/>
  <c r="AB180" i="2" s="1"/>
  <c r="Z180" i="2"/>
  <c r="AA180" i="2" s="1"/>
  <c r="AB179" i="2" a="1"/>
  <c r="AB179" i="2" s="1"/>
  <c r="Z179" i="2"/>
  <c r="AA179" i="2" s="1"/>
  <c r="AB178" i="2" a="1"/>
  <c r="AB178" i="2" s="1"/>
  <c r="Z178" i="2"/>
  <c r="AA178" i="2" s="1"/>
  <c r="AB177" i="2" a="1"/>
  <c r="AB177" i="2" s="1"/>
  <c r="Z177" i="2"/>
  <c r="AA177" i="2" s="1"/>
  <c r="AB176" i="2" a="1"/>
  <c r="AB176" i="2" s="1"/>
  <c r="Z176" i="2"/>
  <c r="AA176" i="2" s="1"/>
  <c r="AB175" i="2" a="1"/>
  <c r="AB175" i="2" s="1"/>
  <c r="Z175" i="2"/>
  <c r="AA175" i="2" s="1"/>
  <c r="AB174" i="2" a="1"/>
  <c r="AB174" i="2" s="1"/>
  <c r="Z174" i="2"/>
  <c r="AA174" i="2" s="1"/>
  <c r="AB173" i="2" a="1"/>
  <c r="AB173" i="2" s="1"/>
  <c r="Z173" i="2"/>
  <c r="AA173" i="2" s="1"/>
  <c r="AB172" i="2" a="1"/>
  <c r="AB172" i="2" s="1"/>
  <c r="Z172" i="2"/>
  <c r="AA172" i="2" s="1"/>
  <c r="AB171" i="2" a="1"/>
  <c r="AB171" i="2" s="1"/>
  <c r="Z171" i="2"/>
  <c r="AA171" i="2" s="1"/>
  <c r="AB170" i="2" a="1"/>
  <c r="AB170" i="2" s="1"/>
  <c r="Z170" i="2"/>
  <c r="AA170" i="2" s="1"/>
  <c r="AB169" i="2" a="1"/>
  <c r="AB169" i="2" s="1"/>
  <c r="Z169" i="2"/>
  <c r="AA169" i="2" s="1"/>
  <c r="AB168" i="2" a="1"/>
  <c r="AB168" i="2" s="1"/>
  <c r="Z168" i="2"/>
  <c r="AA168" i="2" s="1"/>
  <c r="AB167" i="2" a="1"/>
  <c r="AB167" i="2" s="1"/>
  <c r="Z167" i="2"/>
  <c r="AA167" i="2" s="1"/>
  <c r="AB166" i="2" a="1"/>
  <c r="AB166" i="2" s="1"/>
  <c r="Z166" i="2"/>
  <c r="AA166" i="2" s="1"/>
  <c r="AB165" i="2" a="1"/>
  <c r="AB165" i="2" s="1"/>
  <c r="Z165" i="2"/>
  <c r="AA165" i="2" s="1"/>
  <c r="AB164" i="2" a="1"/>
  <c r="AB164" i="2" s="1"/>
  <c r="Z164" i="2"/>
  <c r="AA164" i="2" s="1"/>
  <c r="AB163" i="2" a="1"/>
  <c r="AB163" i="2" s="1"/>
  <c r="Z163" i="2"/>
  <c r="AA163" i="2" s="1"/>
  <c r="AB162" i="2" a="1"/>
  <c r="AB162" i="2" s="1"/>
  <c r="Z162" i="2"/>
  <c r="AA162" i="2" s="1"/>
  <c r="AB161" i="2" a="1"/>
  <c r="AB161" i="2" s="1"/>
  <c r="Z161" i="2"/>
  <c r="AA161" i="2" s="1"/>
  <c r="Z160" i="2"/>
  <c r="AA160" i="2" s="1"/>
  <c r="AB160" i="2" s="1" a="1"/>
  <c r="AB160" i="2" s="1"/>
  <c r="AB159" i="2" a="1"/>
  <c r="AB159" i="2" s="1"/>
  <c r="Z159" i="2"/>
  <c r="AA159" i="2" s="1"/>
  <c r="AB158" i="2" a="1"/>
  <c r="AB158" i="2" s="1"/>
  <c r="Z158" i="2"/>
  <c r="AA158" i="2" s="1"/>
  <c r="Z157" i="2"/>
  <c r="AA157" i="2" s="1"/>
  <c r="AB157" i="2" s="1" a="1"/>
  <c r="AB157" i="2" s="1"/>
  <c r="AB156" i="2" a="1"/>
  <c r="AB156" i="2" s="1"/>
  <c r="Z156" i="2"/>
  <c r="AA156" i="2" s="1"/>
  <c r="AB155" i="2" a="1"/>
  <c r="AB155" i="2" s="1"/>
  <c r="Z155" i="2"/>
  <c r="AA155" i="2" s="1"/>
  <c r="AB154" i="2" a="1"/>
  <c r="AB154" i="2" s="1"/>
  <c r="Z154" i="2"/>
  <c r="AA154" i="2" s="1"/>
  <c r="AB153" i="2" a="1"/>
  <c r="AB153" i="2" s="1"/>
  <c r="Z153" i="2"/>
  <c r="AA153" i="2" s="1"/>
  <c r="Z152" i="2"/>
  <c r="AA152" i="2" s="1"/>
  <c r="AB152" i="2" s="1" a="1"/>
  <c r="AB152" i="2" s="1"/>
  <c r="AB151" i="2" a="1"/>
  <c r="AB151" i="2" s="1"/>
  <c r="Z151" i="2"/>
  <c r="AA151" i="2" s="1"/>
  <c r="AB150" i="2" a="1"/>
  <c r="AB150" i="2" s="1"/>
  <c r="Z150" i="2"/>
  <c r="AA150" i="2" s="1"/>
  <c r="AB149" i="2"/>
  <c r="AB149" i="2" a="1"/>
  <c r="Z149" i="2"/>
  <c r="AA149" i="2" s="1"/>
  <c r="AB148" i="2" a="1"/>
  <c r="AB148" i="2" s="1"/>
  <c r="Z148" i="2"/>
  <c r="AA148" i="2" s="1"/>
  <c r="AB147" i="2" a="1"/>
  <c r="AB147" i="2" s="1"/>
  <c r="Z147" i="2"/>
  <c r="AA147" i="2" s="1"/>
  <c r="AB146" i="2" a="1"/>
  <c r="AB146" i="2" s="1"/>
  <c r="Z146" i="2"/>
  <c r="AA146" i="2" s="1"/>
  <c r="AB145" i="2" a="1"/>
  <c r="AB145" i="2" s="1"/>
  <c r="Z145" i="2"/>
  <c r="AA145" i="2" s="1"/>
  <c r="AB144" i="2" a="1"/>
  <c r="AB144" i="2" s="1"/>
  <c r="Z144" i="2"/>
  <c r="AA144" i="2" s="1"/>
  <c r="Z143" i="2"/>
  <c r="AA143" i="2" s="1"/>
  <c r="AB143" i="2" s="1" a="1"/>
  <c r="AB143" i="2" s="1"/>
  <c r="AB142" i="2" a="1"/>
  <c r="AB142" i="2" s="1"/>
  <c r="Z142" i="2"/>
  <c r="AA142" i="2" s="1"/>
  <c r="AB141" i="2" a="1"/>
  <c r="AB141" i="2" s="1"/>
  <c r="Z141" i="2"/>
  <c r="AA141" i="2" s="1"/>
  <c r="AB140" i="2"/>
  <c r="AB140" i="2" a="1"/>
  <c r="Z140" i="2"/>
  <c r="AA140" i="2" s="1"/>
  <c r="AB139" i="2" a="1"/>
  <c r="AB139" i="2" s="1"/>
  <c r="Z139" i="2"/>
  <c r="AA139" i="2" s="1"/>
  <c r="AB138" i="2" a="1"/>
  <c r="AB138" i="2" s="1"/>
  <c r="Z138" i="2"/>
  <c r="AA138" i="2" s="1"/>
  <c r="AB137" i="2" a="1"/>
  <c r="AB137" i="2" s="1"/>
  <c r="Z137" i="2"/>
  <c r="AA137" i="2" s="1"/>
  <c r="AB136" i="2"/>
  <c r="AB136" i="2" a="1"/>
  <c r="Z136" i="2"/>
  <c r="AA136" i="2" s="1"/>
  <c r="AB135" i="2" a="1"/>
  <c r="AB135" i="2" s="1"/>
  <c r="Z135" i="2"/>
  <c r="AA135" i="2" s="1"/>
  <c r="Z134" i="2"/>
  <c r="AA134" i="2" s="1"/>
  <c r="AB134" i="2" s="1" a="1"/>
  <c r="AB134" i="2" s="1"/>
  <c r="Z133" i="2"/>
  <c r="AA133" i="2" s="1"/>
  <c r="AB133" i="2" s="1" a="1"/>
  <c r="AB133" i="2" s="1"/>
  <c r="Z132" i="2"/>
  <c r="AA132" i="2" s="1"/>
  <c r="AB132" i="2" s="1" a="1"/>
  <c r="AB132" i="2" s="1"/>
  <c r="Z131" i="2"/>
  <c r="AA131" i="2" s="1"/>
  <c r="AB131" i="2" s="1" a="1"/>
  <c r="AB131" i="2" s="1"/>
  <c r="AB130" i="2" a="1"/>
  <c r="AB130" i="2" s="1"/>
  <c r="Z130" i="2"/>
  <c r="AA130" i="2" s="1"/>
  <c r="AB129" i="2"/>
  <c r="AB129" i="2" a="1"/>
  <c r="Z129" i="2"/>
  <c r="AA129" i="2" s="1"/>
  <c r="AB128" i="2" a="1"/>
  <c r="AB128" i="2" s="1"/>
  <c r="Z128" i="2"/>
  <c r="AA128" i="2" s="1"/>
  <c r="Z127" i="2"/>
  <c r="AA127" i="2" s="1"/>
  <c r="AB127" i="2" s="1" a="1"/>
  <c r="AB127" i="2" s="1"/>
  <c r="AB126" i="2" a="1"/>
  <c r="AB126" i="2" s="1"/>
  <c r="Z126" i="2"/>
  <c r="AA126" i="2" s="1"/>
  <c r="AB125" i="2" a="1"/>
  <c r="AB125" i="2" s="1"/>
  <c r="Z125" i="2"/>
  <c r="AA125" i="2" s="1"/>
  <c r="AB124" i="2" a="1"/>
  <c r="AB124" i="2" s="1"/>
  <c r="Z124" i="2"/>
  <c r="AA124" i="2" s="1"/>
  <c r="Z123" i="2"/>
  <c r="AA123" i="2" s="1"/>
  <c r="AB123" i="2" s="1" a="1"/>
  <c r="AB123" i="2" s="1"/>
  <c r="Z122" i="2"/>
  <c r="AA122" i="2" s="1"/>
  <c r="AB122" i="2" s="1" a="1"/>
  <c r="AB122" i="2" s="1"/>
  <c r="AB121" i="2" a="1"/>
  <c r="AB121" i="2" s="1"/>
  <c r="Z121" i="2"/>
  <c r="AA121" i="2" s="1"/>
  <c r="Z120" i="2"/>
  <c r="AA120" i="2" s="1"/>
  <c r="AB120" i="2" s="1" a="1"/>
  <c r="AB120" i="2" s="1"/>
  <c r="Z119" i="2"/>
  <c r="AA119" i="2" s="1"/>
  <c r="AB119" i="2" s="1" a="1"/>
  <c r="AB119" i="2" s="1"/>
  <c r="Z118" i="2"/>
  <c r="AA118" i="2" s="1"/>
  <c r="AB118" i="2" s="1" a="1"/>
  <c r="AB118" i="2" s="1"/>
  <c r="Z117" i="2"/>
  <c r="AA117" i="2" s="1"/>
  <c r="AB117" i="2" s="1" a="1"/>
  <c r="AB117" i="2" s="1"/>
  <c r="Z116" i="2"/>
  <c r="AA116" i="2" s="1"/>
  <c r="AB116" i="2" s="1" a="1"/>
  <c r="AB116" i="2" s="1"/>
  <c r="Z115" i="2"/>
  <c r="AA115" i="2" s="1"/>
  <c r="AB115" i="2" s="1" a="1"/>
  <c r="AB115" i="2" s="1"/>
  <c r="Z114" i="2"/>
  <c r="AA114" i="2" s="1"/>
  <c r="AB114" i="2" s="1" a="1"/>
  <c r="AB114" i="2" s="1"/>
  <c r="Z113" i="2"/>
  <c r="AA113" i="2" s="1"/>
  <c r="AB113" i="2" s="1" a="1"/>
  <c r="AB113" i="2" s="1"/>
  <c r="Z112" i="2"/>
  <c r="AA112" i="2" s="1"/>
  <c r="AB112" i="2" s="1" a="1"/>
  <c r="AB112" i="2" s="1"/>
  <c r="Z111" i="2"/>
  <c r="AA111" i="2" s="1"/>
  <c r="AB111" i="2" s="1" a="1"/>
  <c r="AB111" i="2" s="1"/>
  <c r="AB110" i="2" a="1"/>
  <c r="AB110" i="2" s="1"/>
  <c r="Z110" i="2"/>
  <c r="AA110" i="2" s="1"/>
  <c r="Z109" i="2"/>
  <c r="AA109" i="2" s="1"/>
  <c r="AB109" i="2" s="1" a="1"/>
  <c r="AB109" i="2" s="1"/>
  <c r="Z107" i="2"/>
  <c r="AA107" i="2" s="1"/>
  <c r="AB107" i="2" s="1" a="1"/>
  <c r="AB107" i="2" s="1"/>
  <c r="Z106" i="2"/>
  <c r="AA106" i="2" s="1"/>
  <c r="AB106" i="2" s="1" a="1"/>
  <c r="AB106" i="2" s="1"/>
  <c r="Z105" i="2"/>
  <c r="AA105" i="2" s="1"/>
  <c r="AB105" i="2" s="1" a="1"/>
  <c r="AB105" i="2" s="1"/>
  <c r="Z104" i="2"/>
  <c r="AA104" i="2" s="1"/>
  <c r="AB104" i="2" s="1" a="1"/>
  <c r="AB104" i="2" s="1"/>
  <c r="Z103" i="2"/>
  <c r="AA103" i="2" s="1"/>
  <c r="AB103" i="2" s="1" a="1"/>
  <c r="AB103" i="2" s="1"/>
  <c r="Z102" i="2"/>
  <c r="Z101" i="2"/>
  <c r="AA101" i="2" s="1"/>
  <c r="AB101" i="2" s="1" a="1"/>
  <c r="AB101" i="2" s="1"/>
  <c r="AA100" i="2"/>
  <c r="AB100" i="2" s="1" a="1"/>
  <c r="AB100" i="2" s="1"/>
  <c r="Z100" i="2"/>
  <c r="Z99" i="2"/>
  <c r="AA99" i="2" s="1"/>
  <c r="AB99" i="2" s="1" a="1"/>
  <c r="AB99" i="2" s="1"/>
  <c r="AA98" i="2"/>
  <c r="AB98" i="2" s="1" a="1"/>
  <c r="AB98" i="2" s="1"/>
  <c r="Z98" i="2"/>
  <c r="AB97" i="2" a="1"/>
  <c r="AB97" i="2" s="1"/>
  <c r="Z97" i="2"/>
  <c r="AA97" i="2" s="1"/>
  <c r="AA96" i="2"/>
  <c r="AB96" i="2" s="1" a="1"/>
  <c r="AB96" i="2" s="1"/>
  <c r="Z96" i="2"/>
  <c r="Z95" i="2"/>
  <c r="AA95" i="2" s="1"/>
  <c r="AB95" i="2" s="1" a="1"/>
  <c r="AB95" i="2" s="1"/>
  <c r="Z94" i="2"/>
  <c r="AA94" i="2" s="1"/>
  <c r="AB94" i="2" s="1" a="1"/>
  <c r="AB94" i="2" s="1"/>
  <c r="Z93" i="2"/>
  <c r="AA93" i="2" s="1"/>
  <c r="AB93" i="2" s="1" a="1"/>
  <c r="AB93" i="2" s="1"/>
  <c r="Z92" i="2"/>
  <c r="AA92" i="2" s="1"/>
  <c r="AB92" i="2" s="1" a="1"/>
  <c r="AB92" i="2" s="1"/>
  <c r="AB91" i="2" a="1"/>
  <c r="AB91" i="2" s="1"/>
  <c r="Z91" i="2"/>
  <c r="AA91" i="2" s="1"/>
  <c r="AB90" i="2"/>
  <c r="AB90" i="2" a="1"/>
  <c r="Z90" i="2"/>
  <c r="AA90" i="2" s="1"/>
  <c r="AB89" i="2" a="1"/>
  <c r="AB89" i="2" s="1"/>
  <c r="Z89" i="2"/>
  <c r="AA89" i="2" s="1"/>
  <c r="AB88" i="2" a="1"/>
  <c r="AB88" i="2" s="1"/>
  <c r="Z88" i="2"/>
  <c r="AA88" i="2" s="1"/>
  <c r="Z87" i="2"/>
  <c r="AA87" i="2" s="1"/>
  <c r="AB87" i="2" s="1" a="1"/>
  <c r="AB87" i="2" s="1"/>
  <c r="AB86" i="2"/>
  <c r="AB86" i="2" a="1"/>
  <c r="Z86" i="2"/>
  <c r="AA86" i="2" s="1"/>
  <c r="AB85" i="2"/>
  <c r="AB85" i="2" a="1"/>
  <c r="Z85" i="2"/>
  <c r="AA85" i="2" s="1"/>
  <c r="Z84" i="2"/>
  <c r="AA84" i="2" s="1"/>
  <c r="AB84" i="2" s="1" a="1"/>
  <c r="AB84" i="2" s="1"/>
  <c r="AB83" i="2" a="1"/>
  <c r="AB83" i="2" s="1"/>
  <c r="Z83" i="2"/>
  <c r="AA83" i="2" s="1"/>
  <c r="AB82" i="2" a="1"/>
  <c r="AB82" i="2" s="1"/>
  <c r="AA82" i="2"/>
  <c r="Z82" i="2"/>
  <c r="AB81" i="2" a="1"/>
  <c r="AB81" i="2" s="1"/>
  <c r="Z81" i="2"/>
  <c r="AA81" i="2" s="1"/>
  <c r="AB80" i="2" a="1"/>
  <c r="AB80" i="2" s="1"/>
  <c r="Z80" i="2"/>
  <c r="AA80" i="2" s="1"/>
  <c r="Z79" i="2"/>
  <c r="AA79" i="2" s="1"/>
  <c r="AB79" i="2" s="1" a="1"/>
  <c r="AB79" i="2" s="1"/>
  <c r="AB78" i="2" a="1"/>
  <c r="AB78" i="2" s="1"/>
  <c r="Z78" i="2"/>
  <c r="AA78" i="2" s="1"/>
  <c r="Z77" i="2"/>
  <c r="AA77" i="2" s="1"/>
  <c r="AB77" i="2" s="1" a="1"/>
  <c r="AB77" i="2" s="1"/>
  <c r="AB76" i="2" a="1"/>
  <c r="AB76" i="2" s="1"/>
  <c r="Z76" i="2"/>
  <c r="AA76" i="2" s="1"/>
  <c r="AB75" i="2" a="1"/>
  <c r="AB75" i="2" s="1"/>
  <c r="Z75" i="2"/>
  <c r="AA75" i="2" s="1"/>
  <c r="AB74" i="2" a="1"/>
  <c r="AB74" i="2" s="1"/>
  <c r="Z74" i="2"/>
  <c r="AA74" i="2" s="1"/>
  <c r="AB73" i="2" a="1"/>
  <c r="AB73" i="2" s="1"/>
  <c r="Z73" i="2"/>
  <c r="AA73" i="2" s="1"/>
  <c r="AB72" i="2" a="1"/>
  <c r="AB72" i="2" s="1"/>
  <c r="Z72" i="2"/>
  <c r="AA72" i="2" s="1"/>
  <c r="AB71" i="2" a="1"/>
  <c r="AB71" i="2" s="1"/>
  <c r="Z71" i="2"/>
  <c r="AA71" i="2" s="1"/>
  <c r="AB70" i="2" a="1"/>
  <c r="AB70" i="2" s="1"/>
  <c r="AA70" i="2"/>
  <c r="Z70" i="2"/>
  <c r="AB69" i="2" a="1"/>
  <c r="AB69" i="2" s="1"/>
  <c r="Z69" i="2"/>
  <c r="AA69" i="2" s="1"/>
  <c r="Z68" i="2"/>
  <c r="AA68" i="2" s="1"/>
  <c r="AB68" i="2" s="1" a="1"/>
  <c r="AB68" i="2" s="1"/>
  <c r="Z67" i="2"/>
  <c r="AA67" i="2" s="1"/>
  <c r="AB67" i="2" s="1" a="1"/>
  <c r="AB67" i="2" s="1"/>
  <c r="Z66" i="2"/>
  <c r="AA66" i="2" s="1"/>
  <c r="AB66" i="2" s="1" a="1"/>
  <c r="AB66" i="2" s="1"/>
  <c r="AB65" i="2"/>
  <c r="AB65" i="2" a="1"/>
  <c r="Z65" i="2"/>
  <c r="AA65" i="2" s="1"/>
  <c r="AB64" i="2" a="1"/>
  <c r="AB64" i="2" s="1"/>
  <c r="Z64" i="2"/>
  <c r="AA64" i="2" s="1"/>
  <c r="Z63" i="2"/>
  <c r="AA63" i="2" s="1"/>
  <c r="AB63" i="2" s="1" a="1"/>
  <c r="AB63" i="2" s="1"/>
  <c r="Z62" i="2"/>
  <c r="AA62" i="2" s="1"/>
  <c r="AB62" i="2" s="1" a="1"/>
  <c r="AB62" i="2" s="1"/>
  <c r="AB60" i="2" a="1"/>
  <c r="AB60" i="2" s="1"/>
  <c r="Z60" i="2"/>
  <c r="AA60" i="2" s="1"/>
  <c r="AB59" i="2" a="1"/>
  <c r="AB59" i="2" s="1"/>
  <c r="Z59" i="2"/>
  <c r="AA59" i="2" s="1"/>
  <c r="Z58" i="2"/>
  <c r="AA58" i="2" s="1"/>
  <c r="AB58" i="2" s="1" a="1"/>
  <c r="AB58" i="2" s="1"/>
  <c r="Z57" i="2"/>
  <c r="AA57" i="2" s="1"/>
  <c r="AB57" i="2" s="1" a="1"/>
  <c r="AB57" i="2" s="1"/>
  <c r="Z56" i="2"/>
  <c r="AA56" i="2" s="1"/>
  <c r="AB56" i="2" s="1" a="1"/>
  <c r="AB56" i="2" s="1"/>
  <c r="Z55" i="2"/>
  <c r="AA55" i="2" s="1"/>
  <c r="AB55" i="2" s="1" a="1"/>
  <c r="AB55" i="2" s="1"/>
  <c r="AB54" i="2"/>
  <c r="AB54" i="2" a="1"/>
  <c r="Z54" i="2"/>
  <c r="AA54" i="2" s="1"/>
  <c r="AB53" i="2" a="1"/>
  <c r="AB53" i="2" s="1"/>
  <c r="Z53" i="2"/>
  <c r="AA53" i="2" s="1"/>
  <c r="Z52" i="2"/>
  <c r="AA52" i="2" s="1"/>
  <c r="AB52" i="2" s="1" a="1"/>
  <c r="AB52" i="2" s="1"/>
  <c r="AB51" i="2" a="1"/>
  <c r="AB51" i="2" s="1"/>
  <c r="Z51" i="2"/>
  <c r="AA51" i="2" s="1"/>
  <c r="Z50" i="2"/>
  <c r="AA50" i="2" s="1"/>
  <c r="AB50" i="2" s="1" a="1"/>
  <c r="AB50" i="2" s="1"/>
  <c r="Z49" i="2"/>
  <c r="AA49" i="2" s="1"/>
  <c r="AB49" i="2" s="1" a="1"/>
  <c r="AB49" i="2" s="1"/>
  <c r="AB48" i="2" a="1"/>
  <c r="AB48" i="2" s="1"/>
  <c r="Z48" i="2"/>
  <c r="AA48" i="2" s="1"/>
  <c r="AB46" i="2" a="1"/>
  <c r="AB46" i="2" s="1"/>
  <c r="Z46" i="2"/>
  <c r="AA46" i="2" s="1"/>
  <c r="Z45" i="2"/>
  <c r="AA45" i="2" s="1"/>
  <c r="AB45" i="2" s="1" a="1"/>
  <c r="AB45" i="2" s="1"/>
  <c r="Z44" i="2"/>
  <c r="AA44" i="2" s="1"/>
  <c r="AB44" i="2" s="1" a="1"/>
  <c r="AB44" i="2" s="1"/>
  <c r="AB43" i="2"/>
  <c r="AB43" i="2" a="1"/>
  <c r="Z43" i="2"/>
  <c r="AA43" i="2" s="1"/>
  <c r="AA42" i="2"/>
  <c r="AB42" i="2" s="1" a="1"/>
  <c r="AB42" i="2" s="1"/>
  <c r="Z42" i="2"/>
  <c r="Z41" i="2"/>
  <c r="AA41" i="2" s="1"/>
  <c r="AB41" i="2" s="1" a="1"/>
  <c r="AB41" i="2" s="1"/>
  <c r="AB40" i="2" a="1"/>
  <c r="AB40" i="2" s="1"/>
  <c r="Z40" i="2"/>
  <c r="AA40" i="2" s="1"/>
  <c r="AB39" i="2" a="1"/>
  <c r="AB39" i="2" s="1"/>
  <c r="Z39" i="2"/>
  <c r="AA39" i="2" s="1"/>
  <c r="AB38" i="2" a="1"/>
  <c r="AB38" i="2" s="1"/>
  <c r="Z38" i="2"/>
  <c r="AA38" i="2" s="1"/>
  <c r="AB37" i="2" a="1"/>
  <c r="AB37" i="2" s="1"/>
  <c r="Z37" i="2"/>
  <c r="AA37" i="2" s="1"/>
  <c r="AB36" i="2" a="1"/>
  <c r="AB36" i="2" s="1"/>
  <c r="Z36" i="2"/>
  <c r="AA36" i="2" s="1"/>
  <c r="Z35" i="2"/>
  <c r="AA35" i="2" s="1"/>
  <c r="AB35" i="2" s="1" a="1"/>
  <c r="AB35" i="2" s="1"/>
  <c r="Z34" i="2"/>
  <c r="AA34" i="2" s="1"/>
  <c r="AB34" i="2" s="1" a="1"/>
  <c r="AB34" i="2" s="1"/>
  <c r="AB33" i="2" a="1"/>
  <c r="AB33" i="2" s="1"/>
  <c r="Z33" i="2"/>
  <c r="AA33" i="2" s="1"/>
  <c r="AB31" i="2"/>
  <c r="AB31" i="2" a="1"/>
  <c r="Z31" i="2"/>
  <c r="AA31" i="2" s="1"/>
  <c r="AB29" i="2" a="1"/>
  <c r="AB29" i="2" s="1"/>
  <c r="Z29" i="2"/>
  <c r="AA29" i="2" s="1"/>
  <c r="AB28" i="2" a="1"/>
  <c r="AB28" i="2" s="1"/>
  <c r="AA28" i="2"/>
  <c r="Z28" i="2"/>
  <c r="AB27" i="2" a="1"/>
  <c r="AB27" i="2" s="1"/>
  <c r="Z27" i="2"/>
  <c r="AA27" i="2" s="1"/>
  <c r="AB26" i="2" a="1"/>
  <c r="AB26" i="2" s="1"/>
  <c r="Z26" i="2"/>
  <c r="AA26" i="2" s="1"/>
  <c r="Z25" i="2"/>
  <c r="AA25" i="2" s="1"/>
  <c r="AB25" i="2" s="1" a="1"/>
  <c r="AB25" i="2" s="1"/>
  <c r="AB24" i="2" a="1"/>
  <c r="AB24" i="2" s="1"/>
  <c r="Z24" i="2"/>
  <c r="AA24" i="2" s="1"/>
  <c r="AB23" i="2" a="1"/>
  <c r="AB23" i="2" s="1"/>
  <c r="Z23" i="2"/>
  <c r="AA23" i="2" s="1"/>
  <c r="AB22" i="2" a="1"/>
  <c r="AB22" i="2" s="1"/>
  <c r="Z22" i="2"/>
  <c r="AA22" i="2" s="1"/>
  <c r="AB21" i="2" a="1"/>
  <c r="AB21" i="2" s="1"/>
  <c r="Z21" i="2"/>
  <c r="AA21" i="2" s="1"/>
  <c r="AB20" i="2" a="1"/>
  <c r="AB20" i="2" s="1"/>
  <c r="Z20" i="2"/>
  <c r="AA20" i="2" s="1"/>
  <c r="AB19" i="2"/>
  <c r="AB19" i="2" a="1"/>
  <c r="Z19" i="2"/>
  <c r="AA19" i="2" s="1"/>
  <c r="AB18" i="2" a="1"/>
  <c r="AB18" i="2" s="1"/>
  <c r="Z18" i="2"/>
  <c r="AA18" i="2" s="1"/>
  <c r="AB17" i="2" a="1"/>
  <c r="AB17" i="2" s="1"/>
  <c r="Z17" i="2"/>
  <c r="AA17" i="2" s="1"/>
  <c r="AB16" i="2" a="1"/>
  <c r="AB16" i="2" s="1"/>
  <c r="Z16" i="2"/>
  <c r="AA16" i="2" s="1"/>
  <c r="AB15" i="2" a="1"/>
  <c r="AB15" i="2" s="1"/>
  <c r="Z15" i="2"/>
  <c r="AA15" i="2" s="1"/>
  <c r="Z14" i="2"/>
  <c r="AA14" i="2" s="1"/>
  <c r="AB14" i="2" s="1" a="1"/>
  <c r="AB14" i="2" s="1"/>
  <c r="AB13" i="2" a="1"/>
  <c r="AB13" i="2" s="1"/>
  <c r="Z13" i="2"/>
  <c r="AA13" i="2" s="1"/>
  <c r="AB12" i="2" a="1"/>
  <c r="AB12" i="2" s="1"/>
  <c r="Z12" i="2"/>
  <c r="AA12" i="2" s="1"/>
  <c r="AB11" i="2" a="1"/>
  <c r="AB11" i="2" s="1"/>
  <c r="Z11" i="2"/>
  <c r="AA11" i="2" s="1"/>
  <c r="AB10" i="2"/>
  <c r="AB10" i="2" a="1"/>
  <c r="AA10" i="2"/>
  <c r="Z10" i="2"/>
  <c r="AB9" i="2" a="1"/>
  <c r="AB9" i="2" s="1"/>
  <c r="Z9" i="2"/>
  <c r="AA9" i="2" s="1"/>
  <c r="Z8" i="2"/>
  <c r="Z7" i="2"/>
  <c r="AA7" i="2" s="1"/>
  <c r="AB7" i="2" s="1" a="1"/>
  <c r="AB7" i="2" s="1"/>
  <c r="AB6" i="2" a="1"/>
  <c r="AB6" i="2" s="1"/>
  <c r="Z6" i="2"/>
  <c r="AA6" i="2" s="1"/>
  <c r="AB5" i="2" a="1"/>
  <c r="AB5" i="2" s="1"/>
  <c r="Z5" i="2"/>
  <c r="AA5" i="2" s="1"/>
  <c r="AB4" i="2" a="1"/>
  <c r="AB4" i="2" s="1"/>
  <c r="Z4" i="2"/>
  <c r="AA4" i="2" s="1"/>
  <c r="AB3" i="2" a="1"/>
  <c r="AB3" i="2" s="1"/>
  <c r="Z3" i="2"/>
  <c r="AA3" i="2" s="1"/>
  <c r="Z2" i="2"/>
  <c r="AA2" i="2" s="1"/>
  <c r="AB2" i="2" s="1" a="1"/>
  <c r="AB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<sst xmlns="http://schemas.openxmlformats.org/spreadsheetml/2006/main" count="2861" uniqueCount="1129">
  <si>
    <t>fid</t>
  </si>
  <si>
    <t>Date</t>
  </si>
  <si>
    <t>Time</t>
  </si>
  <si>
    <t>Version</t>
  </si>
  <si>
    <t>Id</t>
  </si>
  <si>
    <t>Name</t>
  </si>
  <si>
    <t>UniqueID</t>
  </si>
  <si>
    <t>Plot Numbe</t>
  </si>
  <si>
    <t>BLOC</t>
  </si>
  <si>
    <t>SPACING</t>
  </si>
  <si>
    <t>DENSITY</t>
  </si>
  <si>
    <t>VARIETY</t>
  </si>
  <si>
    <t>Yield</t>
  </si>
  <si>
    <t>618ExG_mean</t>
  </si>
  <si>
    <t>618ExG_variance</t>
  </si>
  <si>
    <t>618ExR_mean</t>
  </si>
  <si>
    <t>618ExR_variance</t>
  </si>
  <si>
    <t>618gNDVI_mean</t>
  </si>
  <si>
    <t>618gNDVI_variance</t>
  </si>
  <si>
    <t>618NVI_mean</t>
  </si>
  <si>
    <t>618NVI_variance</t>
  </si>
  <si>
    <t>618HA_mean</t>
  </si>
  <si>
    <t>618HA_variance</t>
  </si>
  <si>
    <t>PLTCOUNT</t>
  </si>
  <si>
    <t>D27</t>
  </si>
  <si>
    <t>22"</t>
  </si>
  <si>
    <t>Nautica</t>
  </si>
  <si>
    <t>01:08:31pm</t>
  </si>
  <si>
    <t>D25</t>
  </si>
  <si>
    <t>5009399f124b0578</t>
  </si>
  <si>
    <t>Zorro</t>
  </si>
  <si>
    <t>01:09:45pm</t>
  </si>
  <si>
    <t>D23</t>
  </si>
  <si>
    <t>500939e974326067</t>
  </si>
  <si>
    <t>Redhawk</t>
  </si>
  <si>
    <t>01:10:13pm</t>
  </si>
  <si>
    <t>D21</t>
  </si>
  <si>
    <t>50093a0530f42610</t>
  </si>
  <si>
    <t>Cayenne</t>
  </si>
  <si>
    <t>01:10:34pm</t>
  </si>
  <si>
    <t>D19</t>
  </si>
  <si>
    <t>50093a1a08b553e0</t>
  </si>
  <si>
    <t>Windbreaker</t>
  </si>
  <si>
    <t>01:10:55pm</t>
  </si>
  <si>
    <t>D17</t>
  </si>
  <si>
    <t>50093a2f7621b22f</t>
  </si>
  <si>
    <t>Eclipse</t>
  </si>
  <si>
    <t>01:11:16pm</t>
  </si>
  <si>
    <t>D15</t>
  </si>
  <si>
    <t>50093a442aae9133</t>
  </si>
  <si>
    <t>CLERK</t>
  </si>
  <si>
    <t>01:11:37pm</t>
  </si>
  <si>
    <t>D13</t>
  </si>
  <si>
    <t>50093a597a18dd17</t>
  </si>
  <si>
    <t>Red Rover</t>
  </si>
  <si>
    <t>01:11:58pm</t>
  </si>
  <si>
    <t>D11</t>
  </si>
  <si>
    <t>50093a6e39d14fbd</t>
  </si>
  <si>
    <t>Red Dawn</t>
  </si>
  <si>
    <t>01:12:19pm</t>
  </si>
  <si>
    <t>D9</t>
  </si>
  <si>
    <t>50093a832c9493fd</t>
  </si>
  <si>
    <t>T9905</t>
  </si>
  <si>
    <t>01:12:40pm</t>
  </si>
  <si>
    <t>D7</t>
  </si>
  <si>
    <t>50093a987f396412</t>
  </si>
  <si>
    <t>Ronnies red</t>
  </si>
  <si>
    <t>01:13:01pm</t>
  </si>
  <si>
    <t>D5</t>
  </si>
  <si>
    <t>50093aad1f4f98d9</t>
  </si>
  <si>
    <t>Merlot</t>
  </si>
  <si>
    <t>01:13:21pm</t>
  </si>
  <si>
    <t>D3</t>
  </si>
  <si>
    <t>50093ac156fbaaaa</t>
  </si>
  <si>
    <t>Apex</t>
  </si>
  <si>
    <t>01:16:00pm</t>
  </si>
  <si>
    <t>D1</t>
  </si>
  <si>
    <t>50093b6010aece59</t>
  </si>
  <si>
    <t>ETNA</t>
  </si>
  <si>
    <t>D-1</t>
  </si>
  <si>
    <t>black bear</t>
  </si>
  <si>
    <t>01:20:55pm</t>
  </si>
  <si>
    <t>U-1</t>
  </si>
  <si>
    <t>50093c8714729c7e</t>
  </si>
  <si>
    <t>01:21:16pm</t>
  </si>
  <si>
    <t>U1</t>
  </si>
  <si>
    <t>50093c9c26288129</t>
  </si>
  <si>
    <t>01:21:38pm</t>
  </si>
  <si>
    <t>U3</t>
  </si>
  <si>
    <t>50093cb203f8fc88</t>
  </si>
  <si>
    <t>01:21:59pm</t>
  </si>
  <si>
    <t>U5</t>
  </si>
  <si>
    <t>50093cc72765baa6</t>
  </si>
  <si>
    <t>01:22:20pm</t>
  </si>
  <si>
    <t>U7</t>
  </si>
  <si>
    <t>50093cdc016267f4</t>
  </si>
  <si>
    <t>01:22:39pm</t>
  </si>
  <si>
    <t>U9</t>
  </si>
  <si>
    <t>50093cef4993fa4b</t>
  </si>
  <si>
    <t>01:22:57pm</t>
  </si>
  <si>
    <t>U11</t>
  </si>
  <si>
    <t>50093d01697e9780</t>
  </si>
  <si>
    <t>01:23:16pm</t>
  </si>
  <si>
    <t>U13</t>
  </si>
  <si>
    <t>50093d14018dbcf8</t>
  </si>
  <si>
    <t>01:23:34pm</t>
  </si>
  <si>
    <t>U15</t>
  </si>
  <si>
    <t>50093d2601108569</t>
  </si>
  <si>
    <t>01:23:51pm</t>
  </si>
  <si>
    <t>U17</t>
  </si>
  <si>
    <t>50093d373d99495b</t>
  </si>
  <si>
    <t>01:24:10pm</t>
  </si>
  <si>
    <t>U19</t>
  </si>
  <si>
    <t>50093d4a62b3f9cf</t>
  </si>
  <si>
    <t>01:24:28pm</t>
  </si>
  <si>
    <t>U21</t>
  </si>
  <si>
    <t>50093d5c6ef13363</t>
  </si>
  <si>
    <t>01:24:45pm</t>
  </si>
  <si>
    <t>U23</t>
  </si>
  <si>
    <t>50093d6d05b62247</t>
  </si>
  <si>
    <t>01:25:03pm</t>
  </si>
  <si>
    <t>U25</t>
  </si>
  <si>
    <t>50093d7f232123d5</t>
  </si>
  <si>
    <t>01:25:21pm</t>
  </si>
  <si>
    <t>U27</t>
  </si>
  <si>
    <t>50093d9110323852</t>
  </si>
  <si>
    <t>01:26:52pm</t>
  </si>
  <si>
    <t>50093dec471444ef</t>
  </si>
  <si>
    <t>01:27:10pm</t>
  </si>
  <si>
    <t>50093dfe7d100e83</t>
  </si>
  <si>
    <t>01:27:36pm</t>
  </si>
  <si>
    <t>50093e1823314e52</t>
  </si>
  <si>
    <t>01:27:55pm</t>
  </si>
  <si>
    <t>50093e2b6f97a91d</t>
  </si>
  <si>
    <t>01:28:13pm</t>
  </si>
  <si>
    <t>50093e3d661dbf35</t>
  </si>
  <si>
    <t>01:28:31pm</t>
  </si>
  <si>
    <t>50093e4f48d907d9</t>
  </si>
  <si>
    <t>01:28:49pm</t>
  </si>
  <si>
    <t>50093e6102271d57</t>
  </si>
  <si>
    <t>01:29:16pm</t>
  </si>
  <si>
    <t>50093e7c1c9ce21b</t>
  </si>
  <si>
    <t>01:29:34pm</t>
  </si>
  <si>
    <t>50093e8e401d5fb2</t>
  </si>
  <si>
    <t>01:29:52pm</t>
  </si>
  <si>
    <t>50093ea0702bbc37</t>
  </si>
  <si>
    <t>01:30:25pm</t>
  </si>
  <si>
    <t>50093ec17d613543</t>
  </si>
  <si>
    <t>01:30:43pm</t>
  </si>
  <si>
    <t>50093ed314efc56b</t>
  </si>
  <si>
    <t>01:31:01pm</t>
  </si>
  <si>
    <t>50093ee5117aba33</t>
  </si>
  <si>
    <t>01:31:19pm</t>
  </si>
  <si>
    <t>50093ef72ee29062</t>
  </si>
  <si>
    <t>01:31:37pm</t>
  </si>
  <si>
    <t>50093f095810cb46</t>
  </si>
  <si>
    <t>01:32:54pm</t>
  </si>
  <si>
    <t>50093f564fd0bef8</t>
  </si>
  <si>
    <t>01:33:12pm</t>
  </si>
  <si>
    <t>50093f68189a7b3a</t>
  </si>
  <si>
    <t>01:33:30pm</t>
  </si>
  <si>
    <t>50093f7a29d4f6ac</t>
  </si>
  <si>
    <t>01:33:48pm</t>
  </si>
  <si>
    <t>50093f8c1efd04ca</t>
  </si>
  <si>
    <t>01:34:07pm</t>
  </si>
  <si>
    <t>50093f9f26234741</t>
  </si>
  <si>
    <t>01:34:25pm</t>
  </si>
  <si>
    <t>50093fb1215d43bd</t>
  </si>
  <si>
    <t>01:34:43pm</t>
  </si>
  <si>
    <t>50093fc32eaae622</t>
  </si>
  <si>
    <t>01:35:01pm</t>
  </si>
  <si>
    <t>50093fd512b7d88f</t>
  </si>
  <si>
    <t>01:35:19pm</t>
  </si>
  <si>
    <t>50093fe772614705</t>
  </si>
  <si>
    <t>01:35:37pm</t>
  </si>
  <si>
    <t>50093ff904294a4c</t>
  </si>
  <si>
    <t>01:36:12pm</t>
  </si>
  <si>
    <t>5009301c6c9768a8</t>
  </si>
  <si>
    <t>01:36:29pm</t>
  </si>
  <si>
    <t>5009302d7bda45c4</t>
  </si>
  <si>
    <t>01:38:32pm</t>
  </si>
  <si>
    <t>500930a879a7bcb7</t>
  </si>
  <si>
    <t>01:38:48pm</t>
  </si>
  <si>
    <t>500930b8015b0226</t>
  </si>
  <si>
    <t>01:41:13pm</t>
  </si>
  <si>
    <t>01:41:47pm</t>
  </si>
  <si>
    <t>5009316b170729f3</t>
  </si>
  <si>
    <t>01:43:10pm</t>
  </si>
  <si>
    <t>500931be718e62fc</t>
  </si>
  <si>
    <t>01:43:27pm</t>
  </si>
  <si>
    <t>500931cf441ba1bb</t>
  </si>
  <si>
    <t>01:43:44pm</t>
  </si>
  <si>
    <t>500931e05692012d</t>
  </si>
  <si>
    <t>01:44:01pm</t>
  </si>
  <si>
    <t>500931f15831b7e0</t>
  </si>
  <si>
    <t>01:44:18pm</t>
  </si>
  <si>
    <t>500932020f58c618</t>
  </si>
  <si>
    <t>01:44:35pm</t>
  </si>
  <si>
    <t>5009321313b82097</t>
  </si>
  <si>
    <t>01:44:52pm</t>
  </si>
  <si>
    <t>50093224293f387a</t>
  </si>
  <si>
    <t>01:45:08pm</t>
  </si>
  <si>
    <t>500932344a5c82a7</t>
  </si>
  <si>
    <t>01:47:21pm</t>
  </si>
  <si>
    <t>500932b92c1203b8</t>
  </si>
  <si>
    <t>01:47:38pm</t>
  </si>
  <si>
    <t>500932ca52befd13</t>
  </si>
  <si>
    <t>01:47:55pm</t>
  </si>
  <si>
    <t>500932db3f68c504</t>
  </si>
  <si>
    <t>01:48:12pm</t>
  </si>
  <si>
    <t>500932ec37f669d8</t>
  </si>
  <si>
    <t>01:55:12pm</t>
  </si>
  <si>
    <t>5009349016d0c1e6</t>
  </si>
  <si>
    <t>01:55:29pm</t>
  </si>
  <si>
    <t>500934a12dcf6cf7</t>
  </si>
  <si>
    <t>01:55:46pm</t>
  </si>
  <si>
    <t>500934b27225f4d2</t>
  </si>
  <si>
    <t>01:56:03pm</t>
  </si>
  <si>
    <t>500934c32d56d963</t>
  </si>
  <si>
    <t>01:56:21pm</t>
  </si>
  <si>
    <t>500934d518d9f9d5</t>
  </si>
  <si>
    <t>01:56:37pm</t>
  </si>
  <si>
    <t>500934e559d15090</t>
  </si>
  <si>
    <t>01:56:54pm</t>
  </si>
  <si>
    <t>500934f613849b9a</t>
  </si>
  <si>
    <t>01:57:11pm</t>
  </si>
  <si>
    <t>500935070683b2d8</t>
  </si>
  <si>
    <t>01:57:28pm</t>
  </si>
  <si>
    <t>01:57:45pm</t>
  </si>
  <si>
    <t>500935296ee2769c</t>
  </si>
  <si>
    <t>01:59:14pm</t>
  </si>
  <si>
    <t>500935820e50ca1d</t>
  </si>
  <si>
    <t>01:59:30pm</t>
  </si>
  <si>
    <t>500935926109b79f</t>
  </si>
  <si>
    <t>01:59:47pm</t>
  </si>
  <si>
    <t>500935a376bc7075</t>
  </si>
  <si>
    <t>02:00:04pm</t>
  </si>
  <si>
    <t>500935b4198bcba9</t>
  </si>
  <si>
    <t>02:00:20pm</t>
  </si>
  <si>
    <t>500935c4304d8100</t>
  </si>
  <si>
    <t>02:32:21pm</t>
  </si>
  <si>
    <t>50093d455ba62858</t>
  </si>
  <si>
    <t>02:32:39pm</t>
  </si>
  <si>
    <t>50093d571304575a</t>
  </si>
  <si>
    <t>02:32:58pm</t>
  </si>
  <si>
    <t>50093d6a24602668</t>
  </si>
  <si>
    <t>02:33:16pm</t>
  </si>
  <si>
    <t>50093d7c32e40d45</t>
  </si>
  <si>
    <t>02:33:34pm</t>
  </si>
  <si>
    <t>50093d8e01acb101</t>
  </si>
  <si>
    <t>02:33:52pm</t>
  </si>
  <si>
    <t>50093da012fd19b5</t>
  </si>
  <si>
    <t>02:34:10pm</t>
  </si>
  <si>
    <t>50093db21965e0d8</t>
  </si>
  <si>
    <t>02:34:28pm</t>
  </si>
  <si>
    <t>50093dc4539da5f7</t>
  </si>
  <si>
    <t>02:34:46pm</t>
  </si>
  <si>
    <t>50093dd64f7378f7</t>
  </si>
  <si>
    <t>02:35:05pm</t>
  </si>
  <si>
    <t>50093de9722a979b</t>
  </si>
  <si>
    <t>02:35:23pm</t>
  </si>
  <si>
    <t>50093dfb40a25e9a</t>
  </si>
  <si>
    <t>02:35:40pm</t>
  </si>
  <si>
    <t>50093e0c5d0d12d2</t>
  </si>
  <si>
    <t>02:35:58pm</t>
  </si>
  <si>
    <t>50093e1e5104e23d</t>
  </si>
  <si>
    <t>02:36:16pm</t>
  </si>
  <si>
    <t>50093e304c058188</t>
  </si>
  <si>
    <t>02:36:34pm</t>
  </si>
  <si>
    <t>50093e42222b94c2</t>
  </si>
  <si>
    <t>02:37:59pm</t>
  </si>
  <si>
    <t>50093e970fabee5a</t>
  </si>
  <si>
    <t>02:38:17pm</t>
  </si>
  <si>
    <t>50093ea9755277ac</t>
  </si>
  <si>
    <t>02:38:35pm</t>
  </si>
  <si>
    <t>50093ebb4db1a202</t>
  </si>
  <si>
    <t>02:38:53pm</t>
  </si>
  <si>
    <t>50093ecd4371d901</t>
  </si>
  <si>
    <t>02:39:11pm</t>
  </si>
  <si>
    <t>50093edf4b987c70</t>
  </si>
  <si>
    <t>02:39:29pm</t>
  </si>
  <si>
    <t>50093ef121d86324</t>
  </si>
  <si>
    <t>02:39:47pm</t>
  </si>
  <si>
    <t>50093f03008ad5c6</t>
  </si>
  <si>
    <t>02:40:05pm</t>
  </si>
  <si>
    <t>50093f150fa9f490</t>
  </si>
  <si>
    <t>02:40:23pm</t>
  </si>
  <si>
    <t>50093f27115c1e74</t>
  </si>
  <si>
    <t>02:41:45pm</t>
  </si>
  <si>
    <t>50093f791c4aba63</t>
  </si>
  <si>
    <t>02:42:04pm</t>
  </si>
  <si>
    <t>50093f8c15c37233</t>
  </si>
  <si>
    <t>02:43:21pm</t>
  </si>
  <si>
    <t>50093fd972447cac</t>
  </si>
  <si>
    <t>02:43:39pm</t>
  </si>
  <si>
    <t>50093feb7bbb0d26</t>
  </si>
  <si>
    <t>02:43:57pm</t>
  </si>
  <si>
    <t>50093ffd1c00d756</t>
  </si>
  <si>
    <t>02:44:15pm</t>
  </si>
  <si>
    <t>5009300f20269370</t>
  </si>
  <si>
    <t>02:45:01pm</t>
  </si>
  <si>
    <t>5009303d25d01817</t>
  </si>
  <si>
    <t>02:45:20pm</t>
  </si>
  <si>
    <t>5009305031affabc</t>
  </si>
  <si>
    <t>02:46:25pm</t>
  </si>
  <si>
    <t>500930913f6f06f0</t>
  </si>
  <si>
    <t>02:46:43pm</t>
  </si>
  <si>
    <t>500930a3207612a9</t>
  </si>
  <si>
    <t>02:47:01pm</t>
  </si>
  <si>
    <t>500930b55d23d72a</t>
  </si>
  <si>
    <t>02:47:19pm</t>
  </si>
  <si>
    <t>500930c72bc18ef7</t>
  </si>
  <si>
    <t>02:47:37pm</t>
  </si>
  <si>
    <t>500930d923b0aa85</t>
  </si>
  <si>
    <t>02:48:49pm</t>
  </si>
  <si>
    <t>50093121791b438a</t>
  </si>
  <si>
    <t>02:49:07pm</t>
  </si>
  <si>
    <t>5009313309890fe0</t>
  </si>
  <si>
    <t>02:49:25pm</t>
  </si>
  <si>
    <t>50093145735e635f</t>
  </si>
  <si>
    <t>02:49:43pm</t>
  </si>
  <si>
    <t>50093157037672ed</t>
  </si>
  <si>
    <t>02:50:01pm</t>
  </si>
  <si>
    <t>50093169736936ea</t>
  </si>
  <si>
    <t>02:50:19pm</t>
  </si>
  <si>
    <t>5009317b6ff8d72e</t>
  </si>
  <si>
    <t>02:50:37pm</t>
  </si>
  <si>
    <t>5009318d7927f8d4</t>
  </si>
  <si>
    <t>02:50:55pm</t>
  </si>
  <si>
    <t>5009319f77a593c7</t>
  </si>
  <si>
    <t>03:20:49pm</t>
  </si>
  <si>
    <t>500938a142a28b77</t>
  </si>
  <si>
    <t>03:21:07pm</t>
  </si>
  <si>
    <t>500938b31142d7a8</t>
  </si>
  <si>
    <t>03:21:28pm</t>
  </si>
  <si>
    <t>500938c82b38cc4e</t>
  </si>
  <si>
    <t>03:21:46pm</t>
  </si>
  <si>
    <t>500938da1b290a01</t>
  </si>
  <si>
    <t>03:22:04pm</t>
  </si>
  <si>
    <t>500938ec1836ac2e</t>
  </si>
  <si>
    <t>03:22:23pm</t>
  </si>
  <si>
    <t>500938ff735ff34b</t>
  </si>
  <si>
    <t>03:22:59pm</t>
  </si>
  <si>
    <t>5009392368b96418</t>
  </si>
  <si>
    <t>03:23:17pm</t>
  </si>
  <si>
    <t>5009393556ecbb11</t>
  </si>
  <si>
    <t>03:23:35pm</t>
  </si>
  <si>
    <t>500939472a2156e2</t>
  </si>
  <si>
    <t>03:23:53pm</t>
  </si>
  <si>
    <t>5009395978aceaa2</t>
  </si>
  <si>
    <t>03:24:11pm</t>
  </si>
  <si>
    <t>5009396b3f7279c0</t>
  </si>
  <si>
    <t>03:24:28pm</t>
  </si>
  <si>
    <t>5009397c1d1b3e0b</t>
  </si>
  <si>
    <t>03:25:12pm</t>
  </si>
  <si>
    <t>500939a84beba5f1</t>
  </si>
  <si>
    <t>03:27:59pm</t>
  </si>
  <si>
    <t>50093a4f52e741d3</t>
  </si>
  <si>
    <t>03:28:35pm</t>
  </si>
  <si>
    <t>50093a735a74231c</t>
  </si>
  <si>
    <t>03:28:53pm</t>
  </si>
  <si>
    <t>50093a854a8afd36</t>
  </si>
  <si>
    <t>03:29:11pm</t>
  </si>
  <si>
    <t>50093a972878640e</t>
  </si>
  <si>
    <t>03:29:29pm</t>
  </si>
  <si>
    <t>50093aa959d59461</t>
  </si>
  <si>
    <t>03:30:05pm</t>
  </si>
  <si>
    <t>50093acd2ae566a5</t>
  </si>
  <si>
    <t>03:30:23pm</t>
  </si>
  <si>
    <t>50093adf70f9a581</t>
  </si>
  <si>
    <t>03:31:15pm</t>
  </si>
  <si>
    <t>50093b133389d37a</t>
  </si>
  <si>
    <t>03:31:33pm</t>
  </si>
  <si>
    <t>50093b256b16e051</t>
  </si>
  <si>
    <t>03:31:51pm</t>
  </si>
  <si>
    <t>50093b3776d50d26</t>
  </si>
  <si>
    <t>03:32:09pm</t>
  </si>
  <si>
    <t>50093b4935c6498f</t>
  </si>
  <si>
    <t>03:32:27pm</t>
  </si>
  <si>
    <t>50093b5b3db1441c</t>
  </si>
  <si>
    <t>03:32:45pm</t>
  </si>
  <si>
    <t>50093b6d297ce4a4</t>
  </si>
  <si>
    <t>03:36:20pm</t>
  </si>
  <si>
    <t>50093c447cc67226</t>
  </si>
  <si>
    <t>03:36:39pm</t>
  </si>
  <si>
    <t>50093c574383a6fa</t>
  </si>
  <si>
    <t>03:36:57pm</t>
  </si>
  <si>
    <t>50093c697752ac64</t>
  </si>
  <si>
    <t>03:37:15pm</t>
  </si>
  <si>
    <t>50093c7b72cecc30</t>
  </si>
  <si>
    <t>03:37:33pm</t>
  </si>
  <si>
    <t>50093c8d0bbcd589</t>
  </si>
  <si>
    <t>03:38:19pm</t>
  </si>
  <si>
    <t>50093cbb53f1b719</t>
  </si>
  <si>
    <t>03:38:37pm</t>
  </si>
  <si>
    <t>50093ccd0f0d6038</t>
  </si>
  <si>
    <t>03:38:56pm</t>
  </si>
  <si>
    <t>50093ce0704503a4</t>
  </si>
  <si>
    <t>03:39:14pm</t>
  </si>
  <si>
    <t>50093cf243765c25</t>
  </si>
  <si>
    <t>03:39:32pm</t>
  </si>
  <si>
    <t>50093d046a0400f1</t>
  </si>
  <si>
    <t>03:39:50pm</t>
  </si>
  <si>
    <t>50093d16114a6d8a</t>
  </si>
  <si>
    <t>03:40:08pm</t>
  </si>
  <si>
    <t>50093d28756a1103</t>
  </si>
  <si>
    <t>03:40:26pm</t>
  </si>
  <si>
    <t>50093d3a2b6251bd</t>
  </si>
  <si>
    <t>12:30:46pm</t>
  </si>
  <si>
    <t>500930c674ca6910</t>
  </si>
  <si>
    <t>12:30:59pm</t>
  </si>
  <si>
    <t>500930d376b636ca</t>
  </si>
  <si>
    <t>12:31:18pm</t>
  </si>
  <si>
    <t>500930e6496116cc</t>
  </si>
  <si>
    <t>12:31:37pm</t>
  </si>
  <si>
    <t>500930f93f148c1a</t>
  </si>
  <si>
    <t>12:31:57pm</t>
  </si>
  <si>
    <t>5009310d61d1caa8</t>
  </si>
  <si>
    <t>12:32:16pm</t>
  </si>
  <si>
    <t>5009312004fd5c9b</t>
  </si>
  <si>
    <t>12:34:17pm</t>
  </si>
  <si>
    <t>5009319967e4156d</t>
  </si>
  <si>
    <t>12:34:36pm</t>
  </si>
  <si>
    <t>500931ac4090e491</t>
  </si>
  <si>
    <t>12:34:56pm</t>
  </si>
  <si>
    <t>500931c02d736752</t>
  </si>
  <si>
    <t>12:35:31pm</t>
  </si>
  <si>
    <t>500931e304864da7</t>
  </si>
  <si>
    <t>12:35:50pm</t>
  </si>
  <si>
    <t>500931f65e5dc7db</t>
  </si>
  <si>
    <t>12:36:10pm</t>
  </si>
  <si>
    <t>5009320a0e0bfd00</t>
  </si>
  <si>
    <t>12:36:29pm</t>
  </si>
  <si>
    <t>5009321d20388b0a</t>
  </si>
  <si>
    <t>12:36:48pm</t>
  </si>
  <si>
    <t>500932306674b973</t>
  </si>
  <si>
    <t>12:40:03pm</t>
  </si>
  <si>
    <t>500932f31cc6ba6c</t>
  </si>
  <si>
    <t>12:40:23pm</t>
  </si>
  <si>
    <t>500933074e0fb62c</t>
  </si>
  <si>
    <t>12:40:42pm</t>
  </si>
  <si>
    <t>5009331a53186b7f</t>
  </si>
  <si>
    <t>12:41:02pm</t>
  </si>
  <si>
    <t>5009332e76a6c0ac</t>
  </si>
  <si>
    <t>12:41:21pm</t>
  </si>
  <si>
    <t>50093341439eab88</t>
  </si>
  <si>
    <t>12:41:41pm</t>
  </si>
  <si>
    <t>500933555f96dae6</t>
  </si>
  <si>
    <t>12:42:00pm</t>
  </si>
  <si>
    <t>5009336847e7a62c</t>
  </si>
  <si>
    <t>12:42:19pm</t>
  </si>
  <si>
    <t>5009337b4c676e32</t>
  </si>
  <si>
    <t>12:43:50pm</t>
  </si>
  <si>
    <t>500933d64a119e6a</t>
  </si>
  <si>
    <t>12:44:09pm</t>
  </si>
  <si>
    <t>500933e969cb9441</t>
  </si>
  <si>
    <t>12:44:29pm</t>
  </si>
  <si>
    <t>500933fd16119dc1</t>
  </si>
  <si>
    <t>12:44:48pm</t>
  </si>
  <si>
    <t>5009341069a5cf3a</t>
  </si>
  <si>
    <t>12:45:07pm</t>
  </si>
  <si>
    <t>500934236a5b17e0</t>
  </si>
  <si>
    <t>12:45:46pm</t>
  </si>
  <si>
    <t>5009344a1efb522b</t>
  </si>
  <si>
    <t>12:48:51pm</t>
  </si>
  <si>
    <t>5009350366a1ff4b</t>
  </si>
  <si>
    <t>12:49:11pm</t>
  </si>
  <si>
    <t>500935171af7787b</t>
  </si>
  <si>
    <t>12:49:30pm</t>
  </si>
  <si>
    <t>5009352a113815c0</t>
  </si>
  <si>
    <t>12:49:50pm</t>
  </si>
  <si>
    <t>5009353e15bf5d47</t>
  </si>
  <si>
    <t>12:50:09pm</t>
  </si>
  <si>
    <t>500935512d0c02dd</t>
  </si>
  <si>
    <t>12:50:28pm</t>
  </si>
  <si>
    <t>500935644000b597</t>
  </si>
  <si>
    <t>12:50:48pm</t>
  </si>
  <si>
    <t>500935784e8b457a</t>
  </si>
  <si>
    <t>12:51:07pm</t>
  </si>
  <si>
    <t>5009358b1edfc57e</t>
  </si>
  <si>
    <t>12:52:51pm</t>
  </si>
  <si>
    <t>500935f31bcc2919</t>
  </si>
  <si>
    <t>12:54:18pm</t>
  </si>
  <si>
    <t>5009364a757496d3</t>
  </si>
  <si>
    <t>12:54:39pm</t>
  </si>
  <si>
    <t>5009365f21d149a3</t>
  </si>
  <si>
    <t>12:55:00pm</t>
  </si>
  <si>
    <t>5009367418fc8b32</t>
  </si>
  <si>
    <t>12:55:21pm</t>
  </si>
  <si>
    <t>12:55:41pm</t>
  </si>
  <si>
    <t>5009369d15384da7</t>
  </si>
  <si>
    <t>02:06:38pm</t>
  </si>
  <si>
    <t>5009373e6aa6fcd8</t>
  </si>
  <si>
    <t>02:07:15pm</t>
  </si>
  <si>
    <t>5009376329cb0aec</t>
  </si>
  <si>
    <t>02:07:32pm</t>
  </si>
  <si>
    <t>50093774717eb2c8</t>
  </si>
  <si>
    <t>02:07:49pm</t>
  </si>
  <si>
    <t>500937852328e859</t>
  </si>
  <si>
    <t>02:08:18pm</t>
  </si>
  <si>
    <t>500937a227f165d2</t>
  </si>
  <si>
    <t>02:08:35pm</t>
  </si>
  <si>
    <t>500937b30887c4d7</t>
  </si>
  <si>
    <t>02:08:52pm</t>
  </si>
  <si>
    <t>500937c476ce6277</t>
  </si>
  <si>
    <t>02:09:09pm</t>
  </si>
  <si>
    <t>500937d54ad0b561</t>
  </si>
  <si>
    <t>02:09:26pm</t>
  </si>
  <si>
    <t>500937e652fe0b57</t>
  </si>
  <si>
    <t>02:09:43pm</t>
  </si>
  <si>
    <t>500937f715c59c12</t>
  </si>
  <si>
    <t>02:10:00pm</t>
  </si>
  <si>
    <t>500938082247109d</t>
  </si>
  <si>
    <t>02:10:16pm</t>
  </si>
  <si>
    <t>500938184037ff04</t>
  </si>
  <si>
    <t>02:10:33pm</t>
  </si>
  <si>
    <t>50093829469e4570</t>
  </si>
  <si>
    <t>02:10:50pm</t>
  </si>
  <si>
    <t>5009383a3225a545</t>
  </si>
  <si>
    <t>02:11:07pm</t>
  </si>
  <si>
    <t>5009384b7da4a039</t>
  </si>
  <si>
    <t>02:11:59pm</t>
  </si>
  <si>
    <t>5009387f417a1bee</t>
  </si>
  <si>
    <t>02:12:16pm</t>
  </si>
  <si>
    <t>50093890351769d2</t>
  </si>
  <si>
    <t>02:12:32pm</t>
  </si>
  <si>
    <t>500938a058df867e</t>
  </si>
  <si>
    <t>02:12:50pm</t>
  </si>
  <si>
    <t>500938b23133a4cf</t>
  </si>
  <si>
    <t>02:13:07pm</t>
  </si>
  <si>
    <t>500938c36c2d5dfa</t>
  </si>
  <si>
    <t>02:13:23pm</t>
  </si>
  <si>
    <t>500938d3499ee5c9</t>
  </si>
  <si>
    <t>02:13:40pm</t>
  </si>
  <si>
    <t>500938e41e346b20</t>
  </si>
  <si>
    <t>02:13:57pm</t>
  </si>
  <si>
    <t>500938f510f483a8</t>
  </si>
  <si>
    <t>02:14:14pm</t>
  </si>
  <si>
    <t>5009390642822bdd</t>
  </si>
  <si>
    <t>02:14:31pm</t>
  </si>
  <si>
    <t>5009391734db02a9</t>
  </si>
  <si>
    <t>02:14:48pm</t>
  </si>
  <si>
    <t>50093928596aa055</t>
  </si>
  <si>
    <t>02:15:05pm</t>
  </si>
  <si>
    <t>50093939217fc5b0</t>
  </si>
  <si>
    <t>02:15:21pm</t>
  </si>
  <si>
    <t>50093949500f9d6b</t>
  </si>
  <si>
    <t>02:15:38pm</t>
  </si>
  <si>
    <t>5009395a3be8a2b5</t>
  </si>
  <si>
    <t>02:15:54pm</t>
  </si>
  <si>
    <t>5009396a134e0397</t>
  </si>
  <si>
    <t>02:17:25pm</t>
  </si>
  <si>
    <t>500939c5742f81ed</t>
  </si>
  <si>
    <t>02:17:42pm</t>
  </si>
  <si>
    <t>500939d63646eaf1</t>
  </si>
  <si>
    <t>02:18:01pm</t>
  </si>
  <si>
    <t>500939e93a61f1b3</t>
  </si>
  <si>
    <t>02:18:19pm</t>
  </si>
  <si>
    <t>500939fb27ec90c5</t>
  </si>
  <si>
    <t>02:18:43pm</t>
  </si>
  <si>
    <t>50093a13106c0952</t>
  </si>
  <si>
    <t>02:19:01pm</t>
  </si>
  <si>
    <t>50093a25153ca4f7</t>
  </si>
  <si>
    <t>02:20:07pm</t>
  </si>
  <si>
    <t>50093a675592d3a3</t>
  </si>
  <si>
    <t>02:20:25pm</t>
  </si>
  <si>
    <t>50093a7958829060</t>
  </si>
  <si>
    <t>02:20:43pm</t>
  </si>
  <si>
    <t>50093a8b31f09253</t>
  </si>
  <si>
    <t>02:21:01pm</t>
  </si>
  <si>
    <t>50093a9d3004a747</t>
  </si>
  <si>
    <t>02:21:19pm</t>
  </si>
  <si>
    <t>50093aaf0cac77f9</t>
  </si>
  <si>
    <t>02:21:37pm</t>
  </si>
  <si>
    <t>50093ac16d1fa3e7</t>
  </si>
  <si>
    <t>02:21:55pm</t>
  </si>
  <si>
    <t>50093ad3273100bc</t>
  </si>
  <si>
    <t>02:22:13pm</t>
  </si>
  <si>
    <t>50093ae51621e926</t>
  </si>
  <si>
    <t>02:22:31pm</t>
  </si>
  <si>
    <t>50093af75e8f0fb2</t>
  </si>
  <si>
    <t>02:58:12pm</t>
  </si>
  <si>
    <t>500933541bcb595d</t>
  </si>
  <si>
    <t>02:58:31pm</t>
  </si>
  <si>
    <t>5009336774aca5c5</t>
  </si>
  <si>
    <t>02:58:49pm</t>
  </si>
  <si>
    <t>5009337978ca081c</t>
  </si>
  <si>
    <t>02:59:07pm</t>
  </si>
  <si>
    <t>5009338b7bb4461a</t>
  </si>
  <si>
    <t>02:59:25pm</t>
  </si>
  <si>
    <t>5009339d49a86513</t>
  </si>
  <si>
    <t>02:59:43pm</t>
  </si>
  <si>
    <t>500933af705582e4</t>
  </si>
  <si>
    <t>03:00:01pm</t>
  </si>
  <si>
    <t>500933c16b416b25</t>
  </si>
  <si>
    <t>03:00:19pm</t>
  </si>
  <si>
    <t>500933d3208e2098</t>
  </si>
  <si>
    <t>03:00:37pm</t>
  </si>
  <si>
    <t>500933e53b826a35</t>
  </si>
  <si>
    <t>03:00:55pm</t>
  </si>
  <si>
    <t>500933f75b3e8157</t>
  </si>
  <si>
    <t>03:01:31pm</t>
  </si>
  <si>
    <t>5009341b36231eed</t>
  </si>
  <si>
    <t>03:01:49pm</t>
  </si>
  <si>
    <t>5009342d6f49af3d</t>
  </si>
  <si>
    <t>03:02:07pm</t>
  </si>
  <si>
    <t>5009343f056b0c1f</t>
  </si>
  <si>
    <t>03:02:25pm</t>
  </si>
  <si>
    <t>500934516ef34ff9</t>
  </si>
  <si>
    <t>03:05:33pm</t>
  </si>
  <si>
    <t>5009350d1d483c89</t>
  </si>
  <si>
    <t>03:05:51pm</t>
  </si>
  <si>
    <t>5009351f70ed5dd2</t>
  </si>
  <si>
    <t>03:06:10pm</t>
  </si>
  <si>
    <t>5009353273d9fc8c</t>
  </si>
  <si>
    <t>03:06:28pm</t>
  </si>
  <si>
    <t>50093544659e5ccc</t>
  </si>
  <si>
    <t>03:06:52pm</t>
  </si>
  <si>
    <t>5009355c6979aab9</t>
  </si>
  <si>
    <t>03:07:10pm</t>
  </si>
  <si>
    <t>5009356e594d840e</t>
  </si>
  <si>
    <t>03:07:28pm</t>
  </si>
  <si>
    <t>500935800d1d63ce</t>
  </si>
  <si>
    <t>03:07:57pm</t>
  </si>
  <si>
    <t>5009359d0af8b143</t>
  </si>
  <si>
    <t>03:08:27pm</t>
  </si>
  <si>
    <t>500935bb53a8f219</t>
  </si>
  <si>
    <t>03:08:46pm</t>
  </si>
  <si>
    <t>500935ce594533ee</t>
  </si>
  <si>
    <t>03:09:09pm</t>
  </si>
  <si>
    <t>500935e577374ade</t>
  </si>
  <si>
    <t>03:09:27pm</t>
  </si>
  <si>
    <t>500935f728c49910</t>
  </si>
  <si>
    <t>03:09:45pm</t>
  </si>
  <si>
    <t>500936095f79a35e</t>
  </si>
  <si>
    <t>03:10:03pm</t>
  </si>
  <si>
    <t>5009361b2f77fd8b</t>
  </si>
  <si>
    <t>03:10:21pm</t>
  </si>
  <si>
    <t>5009362d1625af71</t>
  </si>
  <si>
    <t>03:11:47pm</t>
  </si>
  <si>
    <t>500936836f0ba90f</t>
  </si>
  <si>
    <t>03:12:05pm</t>
  </si>
  <si>
    <t>500936952e76ac88</t>
  </si>
  <si>
    <t>03:12:23pm</t>
  </si>
  <si>
    <t>500936a73d598542</t>
  </si>
  <si>
    <t>03:12:41pm</t>
  </si>
  <si>
    <t>500936b940ae5802</t>
  </si>
  <si>
    <t>03:12:59pm</t>
  </si>
  <si>
    <t>500936cb70341ce0</t>
  </si>
  <si>
    <t>03:13:17pm</t>
  </si>
  <si>
    <t>500936dd1aec0051</t>
  </si>
  <si>
    <t>03:13:35pm</t>
  </si>
  <si>
    <t>500936ef11572f70</t>
  </si>
  <si>
    <t>03:15:21pm</t>
  </si>
  <si>
    <t>500937591ab33bac</t>
  </si>
  <si>
    <t>03:15:39pm</t>
  </si>
  <si>
    <t>5009376b6a674086</t>
  </si>
  <si>
    <t>03:15:57pm</t>
  </si>
  <si>
    <t>5009377d611d298e</t>
  </si>
  <si>
    <t>03:16:15pm</t>
  </si>
  <si>
    <t>5009378f76cf2b4e</t>
  </si>
  <si>
    <t>03:16:33pm</t>
  </si>
  <si>
    <t>500937a1195881eb</t>
  </si>
  <si>
    <t>03:16:51pm</t>
  </si>
  <si>
    <t>500937b34cbdae4d</t>
  </si>
  <si>
    <t>03:17:16pm</t>
  </si>
  <si>
    <t>500937cc042ab821</t>
  </si>
  <si>
    <t>03:17:34pm</t>
  </si>
  <si>
    <t>500937de5595d4cc</t>
  </si>
  <si>
    <t>03:50:12pm</t>
  </si>
  <si>
    <t>50093f845c296254</t>
  </si>
  <si>
    <t>03:50:30pm</t>
  </si>
  <si>
    <t>50093f96673ce4ec</t>
  </si>
  <si>
    <t>03:50:48pm</t>
  </si>
  <si>
    <t>50093fa83307cdaf</t>
  </si>
  <si>
    <t>03:51:06pm</t>
  </si>
  <si>
    <t>50093fba776d2240</t>
  </si>
  <si>
    <t>03:51:24pm</t>
  </si>
  <si>
    <t>50093fcc1c7bfae7</t>
  </si>
  <si>
    <t>03:51:42pm</t>
  </si>
  <si>
    <t>50093fde23506299</t>
  </si>
  <si>
    <t>03:52:00pm</t>
  </si>
  <si>
    <t>50093ff02e4f8a47</t>
  </si>
  <si>
    <t>03:52:18pm</t>
  </si>
  <si>
    <t>500930025d30d78c</t>
  </si>
  <si>
    <t>03:52:36pm</t>
  </si>
  <si>
    <t>500930143843b2a8</t>
  </si>
  <si>
    <t>03:52:54pm</t>
  </si>
  <si>
    <t>5009302616bab8f5</t>
  </si>
  <si>
    <t>03:53:12pm</t>
  </si>
  <si>
    <t>500930383a7fedec</t>
  </si>
  <si>
    <t>03:53:30pm</t>
  </si>
  <si>
    <t>5009304a6e648809</t>
  </si>
  <si>
    <t>03:54:06pm</t>
  </si>
  <si>
    <t>5009306e4cda573e</t>
  </si>
  <si>
    <t>03:55:17pm</t>
  </si>
  <si>
    <t>500930b519727364</t>
  </si>
  <si>
    <t>03:55:53pm</t>
  </si>
  <si>
    <t>500930d92e3cce95</t>
  </si>
  <si>
    <t>03:57:19pm</t>
  </si>
  <si>
    <t>5009312f1397dca2</t>
  </si>
  <si>
    <t>03:57:37pm</t>
  </si>
  <si>
    <t>5009314121b5fc00</t>
  </si>
  <si>
    <t>03:57:55pm</t>
  </si>
  <si>
    <t>50093153586f6711</t>
  </si>
  <si>
    <t>03:58:25pm</t>
  </si>
  <si>
    <t>50093171240d10f9</t>
  </si>
  <si>
    <t>03:58:37pm</t>
  </si>
  <si>
    <t>5009317d22911828</t>
  </si>
  <si>
    <t>03:58:50pm</t>
  </si>
  <si>
    <t>5009318a6850c5d3</t>
  </si>
  <si>
    <t>03:59:03pm</t>
  </si>
  <si>
    <t>500931970351b2b7</t>
  </si>
  <si>
    <t>03:59:22pm</t>
  </si>
  <si>
    <t>500931aa7f84f830</t>
  </si>
  <si>
    <t>03:59:47pm</t>
  </si>
  <si>
    <t>500931c3799b4ce0</t>
  </si>
  <si>
    <t>04:01:21pm</t>
  </si>
  <si>
    <t>50093221414e0744</t>
  </si>
  <si>
    <t>04:01:53pm</t>
  </si>
  <si>
    <t>50093241040e3869</t>
  </si>
  <si>
    <t>04:02:05pm</t>
  </si>
  <si>
    <t>5009324d73d1b500</t>
  </si>
  <si>
    <t>04:02:18pm</t>
  </si>
  <si>
    <t>5009325a3eb8b095</t>
  </si>
  <si>
    <t>04:02:31pm</t>
  </si>
  <si>
    <t>50093267533423b7</t>
  </si>
  <si>
    <t>04:02:43pm</t>
  </si>
  <si>
    <t>5009327372b6d5bc</t>
  </si>
  <si>
    <t>04:02:56pm</t>
  </si>
  <si>
    <t>50093280794e9ed9</t>
  </si>
  <si>
    <t>04:03:09pm</t>
  </si>
  <si>
    <t>5009328d536cf92d</t>
  </si>
  <si>
    <t>04:04:06pm</t>
  </si>
  <si>
    <t>500932c65ca81da6</t>
  </si>
  <si>
    <t>04:04:19pm</t>
  </si>
  <si>
    <t>500932d32b5b73e1</t>
  </si>
  <si>
    <t>04:04:57pm</t>
  </si>
  <si>
    <t>500932f91648158c</t>
  </si>
  <si>
    <t>Experiment Name</t>
  </si>
  <si>
    <t>BARCODE_128</t>
  </si>
  <si>
    <t>Org Name</t>
  </si>
  <si>
    <t>Locn</t>
  </si>
  <si>
    <t>Plot</t>
  </si>
  <si>
    <t>Identity1</t>
  </si>
  <si>
    <t>Description1</t>
  </si>
  <si>
    <t>Treatment</t>
  </si>
  <si>
    <t>Mason Plot #</t>
  </si>
  <si>
    <t>qGIS plot number</t>
  </si>
  <si>
    <t>Plot Range</t>
  </si>
  <si>
    <t>Plot Column</t>
  </si>
  <si>
    <t>100 Seed weight</t>
  </si>
  <si>
    <t>Moisture</t>
  </si>
  <si>
    <t>Plot Weight</t>
  </si>
  <si>
    <t>Flowering Date</t>
  </si>
  <si>
    <t>Maturity Date</t>
  </si>
  <si>
    <t>HAsum</t>
  </si>
  <si>
    <t>HAmean</t>
  </si>
  <si>
    <t>AdjustedYield</t>
  </si>
  <si>
    <t>Weighted Adjustment(0.5)</t>
  </si>
  <si>
    <t>WeightedYield</t>
  </si>
  <si>
    <t>AlgoYield</t>
  </si>
  <si>
    <t>WeightedAdjustment(0.35)</t>
  </si>
  <si>
    <t>WeightedYield(0.35)</t>
  </si>
  <si>
    <t>AlgoYield2</t>
  </si>
  <si>
    <t>Comments</t>
  </si>
  <si>
    <t>Check</t>
  </si>
  <si>
    <t>Planter</t>
  </si>
  <si>
    <t>24101-n</t>
  </si>
  <si>
    <t>17A4AB3390</t>
  </si>
  <si>
    <t>LODS</t>
  </si>
  <si>
    <t>30"</t>
  </si>
  <si>
    <t>17DD20C9A0</t>
  </si>
  <si>
    <t>1143BB41EA</t>
  </si>
  <si>
    <t>197BBB7845</t>
  </si>
  <si>
    <t>1A09581714</t>
  </si>
  <si>
    <t>178E433348</t>
  </si>
  <si>
    <t>1A2F8E059F</t>
  </si>
  <si>
    <t>1047A4D661</t>
  </si>
  <si>
    <t>161743762B</t>
  </si>
  <si>
    <t>11FBF792FB</t>
  </si>
  <si>
    <t>14D1D74C4F</t>
  </si>
  <si>
    <t>1913C5BCE2</t>
  </si>
  <si>
    <t>1F3E3C7202</t>
  </si>
  <si>
    <t>1ECBE9100C</t>
  </si>
  <si>
    <t>13C7E686AA</t>
  </si>
  <si>
    <t>1EE98D13AE</t>
  </si>
  <si>
    <t>17B74EF533</t>
  </si>
  <si>
    <t>11EC8AEE89</t>
  </si>
  <si>
    <t>1B9839AAA6</t>
  </si>
  <si>
    <t>128FFC5EE2</t>
  </si>
  <si>
    <t>17D142D80C</t>
  </si>
  <si>
    <t>13D7345BF6</t>
  </si>
  <si>
    <t>135525D516</t>
  </si>
  <si>
    <t>1ED16701A9</t>
  </si>
  <si>
    <t>1BF894EAAD</t>
  </si>
  <si>
    <t>1CFB818B13</t>
  </si>
  <si>
    <t>1FA7816CE1</t>
  </si>
  <si>
    <t>167E0CFA3F</t>
  </si>
  <si>
    <t>1EB5B01FFF</t>
  </si>
  <si>
    <t>114965A262</t>
  </si>
  <si>
    <t>13EFA08461</t>
  </si>
  <si>
    <t>15158A5F69</t>
  </si>
  <si>
    <t>1D59F1C964</t>
  </si>
  <si>
    <t>142BD536E6</t>
  </si>
  <si>
    <t>1DBB1A7FEC</t>
  </si>
  <si>
    <t>1CB9084CD5</t>
  </si>
  <si>
    <t>13519E0F5D</t>
  </si>
  <si>
    <t>1BAF74E1C8</t>
  </si>
  <si>
    <t>1346BCE35D</t>
  </si>
  <si>
    <t>1CDB6474C6</t>
  </si>
  <si>
    <t>176658E42D</t>
  </si>
  <si>
    <t>17ADAD86EC</t>
  </si>
  <si>
    <t>10C128A4AC</t>
  </si>
  <si>
    <t>16614BF8FB</t>
  </si>
  <si>
    <t>162DD8AFEB</t>
  </si>
  <si>
    <t>196870E465</t>
  </si>
  <si>
    <t>1B20C85804</t>
  </si>
  <si>
    <t>1D1519F912</t>
  </si>
  <si>
    <t>11AC5EA708</t>
  </si>
  <si>
    <t>17C35F9EF6</t>
  </si>
  <si>
    <t>1B93418F81</t>
  </si>
  <si>
    <t>1617DE1AAA</t>
  </si>
  <si>
    <t>137A27CF22</t>
  </si>
  <si>
    <t>178A7FCC1B</t>
  </si>
  <si>
    <t>10DF836229</t>
  </si>
  <si>
    <t>1BEEB999A1</t>
  </si>
  <si>
    <t>184AA18C55</t>
  </si>
  <si>
    <t>1F294A5502</t>
  </si>
  <si>
    <t>128FCE3EF1</t>
  </si>
  <si>
    <t>108817FC5A</t>
  </si>
  <si>
    <t>1C2A16BA08</t>
  </si>
  <si>
    <t>1B00FCE504</t>
  </si>
  <si>
    <t>12BC26828A</t>
  </si>
  <si>
    <t>14A4CA0F78</t>
  </si>
  <si>
    <t>1ABB092894</t>
  </si>
  <si>
    <t>18699C80DE</t>
  </si>
  <si>
    <t>1CD6C3DBF6</t>
  </si>
  <si>
    <t>11A3DEAF70</t>
  </si>
  <si>
    <t>15BD90DF5B</t>
  </si>
  <si>
    <t>196A2A2CFF</t>
  </si>
  <si>
    <t>1B00F5B1B3</t>
  </si>
  <si>
    <t>10F8436E71</t>
  </si>
  <si>
    <t>1FE3C8DD87</t>
  </si>
  <si>
    <t>1F69EB8F23</t>
  </si>
  <si>
    <t>1E5BC0F5A0</t>
  </si>
  <si>
    <t>10EDA2B6DF</t>
  </si>
  <si>
    <t>103B4585F5</t>
  </si>
  <si>
    <t>1D32470AF7</t>
  </si>
  <si>
    <t>1C8627CFE0</t>
  </si>
  <si>
    <t>1C3156684C</t>
  </si>
  <si>
    <t>1AFB396F00</t>
  </si>
  <si>
    <t>13F7E6DCBF</t>
  </si>
  <si>
    <t>1F28AAC832</t>
  </si>
  <si>
    <t>1C4B0E1D45</t>
  </si>
  <si>
    <t>1080B6E78B</t>
  </si>
  <si>
    <t>1F019EB283</t>
  </si>
  <si>
    <t>17F17445E8</t>
  </si>
  <si>
    <t>1BBE7A47FB</t>
  </si>
  <si>
    <t>151746B5A8</t>
  </si>
  <si>
    <t>1584ADAD28</t>
  </si>
  <si>
    <t>1275B49A02</t>
  </si>
  <si>
    <t>176A73EB1D</t>
  </si>
  <si>
    <t>1F0AE1958B</t>
  </si>
  <si>
    <t>1A8E6CC8D8</t>
  </si>
  <si>
    <t>179874C9E2</t>
  </si>
  <si>
    <t>198A5A08B5</t>
  </si>
  <si>
    <t>1C1CB6CE61</t>
  </si>
  <si>
    <t>1E7680FFC6</t>
  </si>
  <si>
    <t>1183CAA820</t>
  </si>
  <si>
    <t>151856F93E</t>
  </si>
  <si>
    <t>1AA5643697</t>
  </si>
  <si>
    <t>13438C38B0</t>
  </si>
  <si>
    <t>143B059D49</t>
  </si>
  <si>
    <t>1EBDA28DB6</t>
  </si>
  <si>
    <t>1AA89F614D</t>
  </si>
  <si>
    <t>189A641B49</t>
  </si>
  <si>
    <t>1147AC00EA</t>
  </si>
  <si>
    <t>10EDEF24ED</t>
  </si>
  <si>
    <t>1FCB05C378</t>
  </si>
  <si>
    <t>131622A06A</t>
  </si>
  <si>
    <t>1E8608BDB2</t>
  </si>
  <si>
    <t>1B69F7C04C</t>
  </si>
  <si>
    <t>1BD33F1538</t>
  </si>
  <si>
    <t>1575F9896E</t>
  </si>
  <si>
    <t>14967C7782</t>
  </si>
  <si>
    <t>139FAB529C</t>
  </si>
  <si>
    <t>109D664FB0</t>
  </si>
  <si>
    <t>1BBE1B7C42</t>
  </si>
  <si>
    <t>19789DB30C</t>
  </si>
  <si>
    <t>1A8EC4F4D0</t>
  </si>
  <si>
    <t>15EEF1DD70</t>
  </si>
  <si>
    <t>1B62F0EA7F</t>
  </si>
  <si>
    <t>10F0B9FC46</t>
  </si>
  <si>
    <t>1A8D9C3D2C</t>
  </si>
  <si>
    <t>1D82BAB71D</t>
  </si>
  <si>
    <t>1AAFB87CE6</t>
  </si>
  <si>
    <t>1D4DC84C27</t>
  </si>
  <si>
    <t>1EBA4CDAE3</t>
  </si>
  <si>
    <t>1D7CAA682B</t>
  </si>
  <si>
    <t>10F0B53C07</t>
  </si>
  <si>
    <t>1B94CD7BFB</t>
  </si>
  <si>
    <t>1F6ACB792D</t>
  </si>
  <si>
    <t>1E9F22FC24</t>
  </si>
  <si>
    <t>19B80CD0F0</t>
  </si>
  <si>
    <t>1C32A3B1D2</t>
  </si>
  <si>
    <t>179DF95BCF</t>
  </si>
  <si>
    <t>1B8410F2B7</t>
  </si>
  <si>
    <t>150719918B</t>
  </si>
  <si>
    <t>1295EA32E8</t>
  </si>
  <si>
    <t>12865E420B</t>
  </si>
  <si>
    <t>1875D9E138</t>
  </si>
  <si>
    <t>1938526BD4</t>
  </si>
  <si>
    <t>1CA2619B26</t>
  </si>
  <si>
    <t>1697EBC230</t>
  </si>
  <si>
    <t>1005824E2F</t>
  </si>
  <si>
    <t>1CDBA3A339</t>
  </si>
  <si>
    <t>10E594A03A</t>
  </si>
  <si>
    <t>1C72DABC5F</t>
  </si>
  <si>
    <t>1FCFC7D6A5</t>
  </si>
  <si>
    <t>142716F39E</t>
  </si>
  <si>
    <t>152CB970AB</t>
  </si>
  <si>
    <t>18E872AECC</t>
  </si>
  <si>
    <t>13ED8B4B49</t>
  </si>
  <si>
    <t>12E1D82A3B</t>
  </si>
  <si>
    <t>1002DC1CCA</t>
  </si>
  <si>
    <t>1996D35627</t>
  </si>
  <si>
    <t>1BEE9EAA14</t>
  </si>
  <si>
    <t>143255DC9E</t>
  </si>
  <si>
    <t>163BBC07EE</t>
  </si>
  <si>
    <t>1F24AA3057</t>
  </si>
  <si>
    <t>102E845022</t>
  </si>
  <si>
    <t>10E7A3798C</t>
  </si>
  <si>
    <t>1BD5369796</t>
  </si>
  <si>
    <t>190123EEC1</t>
  </si>
  <si>
    <t>191BA5BC4A</t>
  </si>
  <si>
    <t>108FE7B6A8</t>
  </si>
  <si>
    <t>11F82120E3</t>
  </si>
  <si>
    <t>101D2D89B4</t>
  </si>
  <si>
    <t>16F697E982</t>
  </si>
  <si>
    <t>1F1317254C</t>
  </si>
  <si>
    <t>16EDD0D6A7</t>
  </si>
  <si>
    <t>103F624B8D</t>
  </si>
  <si>
    <t>1C6889CD4C</t>
  </si>
  <si>
    <t>1335921DEC</t>
  </si>
  <si>
    <t>158627AD2E</t>
  </si>
  <si>
    <t>1B388374BB</t>
  </si>
  <si>
    <t>18663BCBFE</t>
  </si>
  <si>
    <t>108190DD84</t>
  </si>
  <si>
    <t>1C8C2E820A</t>
  </si>
  <si>
    <t>1493D14504</t>
  </si>
  <si>
    <t>1319C119F5</t>
  </si>
  <si>
    <t>13915D621D</t>
  </si>
  <si>
    <t>1EB43CFF67</t>
  </si>
  <si>
    <t>1DE6C77E1F</t>
  </si>
  <si>
    <t>1DA96071B5</t>
  </si>
  <si>
    <t>16C060718C</t>
  </si>
  <si>
    <t>16CA3B78BF</t>
  </si>
  <si>
    <t>1D89C9FD69</t>
  </si>
  <si>
    <t>1B900C80E9</t>
  </si>
  <si>
    <t>101C8DC954</t>
  </si>
  <si>
    <t>15CE3CEFE9</t>
  </si>
  <si>
    <t>1F61015D17</t>
  </si>
  <si>
    <t>1FD7ADB5B1</t>
  </si>
  <si>
    <t>112C7B61D6</t>
  </si>
  <si>
    <t>18429729A7</t>
  </si>
  <si>
    <t>1E5DB73B6E</t>
  </si>
  <si>
    <t>14E6BD5F55</t>
  </si>
  <si>
    <t>185799D1B5</t>
  </si>
  <si>
    <t>120F0BA503</t>
  </si>
  <si>
    <t>16A2B8AB04</t>
  </si>
  <si>
    <t>1657F218F5</t>
  </si>
  <si>
    <t>131B9648B9</t>
  </si>
  <si>
    <t>1A17AC8B9C</t>
  </si>
  <si>
    <t>1F4E4C5AF3</t>
  </si>
  <si>
    <t>174D419533</t>
  </si>
  <si>
    <t>1A1BE75B42</t>
  </si>
  <si>
    <t>164D3540D0</t>
  </si>
  <si>
    <t>1BE74AADB7</t>
  </si>
  <si>
    <t>1BFEDDC748</t>
  </si>
  <si>
    <t>161107F3EE</t>
  </si>
  <si>
    <t>1758056A3A</t>
  </si>
  <si>
    <t>14CA912D81</t>
  </si>
  <si>
    <t>1D5B0E31A0</t>
  </si>
  <si>
    <t>11D718A042</t>
  </si>
  <si>
    <t>12EF83B0EE</t>
  </si>
  <si>
    <t>1ACBA97B56</t>
  </si>
  <si>
    <t>173155525C</t>
  </si>
  <si>
    <t>11EC604BC5</t>
  </si>
  <si>
    <t>1FDA18AEA7</t>
  </si>
  <si>
    <t>140B25FD63</t>
  </si>
  <si>
    <t>1B3C6DE8BA</t>
  </si>
  <si>
    <t>11D5A160FD</t>
  </si>
  <si>
    <t>17BCFC1D0E</t>
  </si>
  <si>
    <t>17EBFE59C1</t>
  </si>
  <si>
    <t>14314EC041</t>
  </si>
  <si>
    <t>1259CDB3C1</t>
  </si>
  <si>
    <t>1B1DAAE457</t>
  </si>
  <si>
    <t>15059F9B51</t>
  </si>
  <si>
    <t>1070391AA4</t>
  </si>
  <si>
    <t>19C0B13B77</t>
  </si>
  <si>
    <t>19E336647B</t>
  </si>
  <si>
    <t>14812201FE</t>
  </si>
  <si>
    <t>1F98C2ABF6</t>
  </si>
  <si>
    <t>15E9CC80F0</t>
  </si>
  <si>
    <t>1C1CAA7A5F</t>
  </si>
  <si>
    <t>1AFDF9FCFC</t>
  </si>
  <si>
    <t>1EFFB4BBF3</t>
  </si>
  <si>
    <t>1597C0C6D6</t>
  </si>
  <si>
    <t>1EF1E40699</t>
  </si>
  <si>
    <t>1FC9C898A6</t>
  </si>
  <si>
    <t>1B5F6CAFAA</t>
  </si>
  <si>
    <t>16CA55D478</t>
  </si>
  <si>
    <t>1743EE89CD</t>
  </si>
  <si>
    <t>14133769EF</t>
  </si>
  <si>
    <t>1E26CF6FAC</t>
  </si>
  <si>
    <t>19560BA2F1</t>
  </si>
  <si>
    <t>18DA1E9071</t>
  </si>
  <si>
    <t>1839F24454</t>
  </si>
  <si>
    <t>1BE6B8661A</t>
  </si>
  <si>
    <t>1D7076FD12</t>
  </si>
  <si>
    <t>1DD79202CD</t>
  </si>
  <si>
    <t>137C8A71EA</t>
  </si>
  <si>
    <t>1C8BF78179</t>
  </si>
  <si>
    <t>17413F4289</t>
  </si>
  <si>
    <t>1DFD5992AB</t>
  </si>
  <si>
    <t>1A88B14122</t>
  </si>
  <si>
    <t>131D420CA5</t>
  </si>
  <si>
    <t>1621A5E489</t>
  </si>
  <si>
    <t>1844C7FCA3</t>
  </si>
  <si>
    <t>1C399A622E</t>
  </si>
  <si>
    <t>178080C6F1</t>
  </si>
  <si>
    <t>172F6E3B6E</t>
  </si>
  <si>
    <t>18B0FF5910</t>
  </si>
  <si>
    <t>159D531A2B</t>
  </si>
  <si>
    <t>1CB9FA324A</t>
  </si>
  <si>
    <t>1AEA6AB175</t>
  </si>
  <si>
    <t>1629533B8A</t>
  </si>
  <si>
    <t>1836349E2A</t>
  </si>
  <si>
    <t>15F1103A97</t>
  </si>
  <si>
    <t>119160E3DE</t>
  </si>
  <si>
    <t>1FD697FBFD</t>
  </si>
  <si>
    <t>1C77D7A0FB</t>
  </si>
  <si>
    <t>1779F829CC</t>
  </si>
  <si>
    <t>147179A32B</t>
  </si>
  <si>
    <t>1D1564C77F</t>
  </si>
  <si>
    <t>10B9B24050</t>
  </si>
  <si>
    <t>11B9586688</t>
  </si>
  <si>
    <t>116C8646E4</t>
  </si>
  <si>
    <t>1C05A9DD0F</t>
  </si>
  <si>
    <t>1C6C69333A</t>
  </si>
  <si>
    <t>19CB41E919</t>
  </si>
  <si>
    <t>1713FA3EEE</t>
  </si>
  <si>
    <t>18EB119CF7</t>
  </si>
  <si>
    <t>1A28CF475A</t>
  </si>
  <si>
    <t>1D3EE19DDE</t>
  </si>
  <si>
    <t>15250B59CE</t>
  </si>
  <si>
    <t>19A4798182</t>
  </si>
  <si>
    <t>17FD8383CA</t>
  </si>
  <si>
    <t>1760FF63F5</t>
  </si>
  <si>
    <t>1D1279BF3A</t>
  </si>
  <si>
    <t>10367737DA</t>
  </si>
  <si>
    <t>1716A0EA9B</t>
  </si>
  <si>
    <t>16E3AA9234</t>
  </si>
  <si>
    <t>1EFD657BCD</t>
  </si>
  <si>
    <t>179D7709CE</t>
  </si>
  <si>
    <t>19CD413B6F</t>
  </si>
  <si>
    <t>1846B14E28</t>
  </si>
  <si>
    <t>165D4DC392</t>
  </si>
  <si>
    <t>19B22E8E3A</t>
  </si>
  <si>
    <t>1B4AF1198F</t>
  </si>
  <si>
    <t>1D4E689309</t>
  </si>
  <si>
    <t>14D1B023D4</t>
  </si>
  <si>
    <t>1703D43F70</t>
  </si>
  <si>
    <t>185306E99C</t>
  </si>
  <si>
    <t>11CA3A8C7E</t>
  </si>
  <si>
    <t>1A4C47E754</t>
  </si>
  <si>
    <t>1362E33B9E</t>
  </si>
  <si>
    <t>179B0EBA68</t>
  </si>
  <si>
    <t>1CADF115D8</t>
  </si>
  <si>
    <t>1C5C0EAFE4</t>
  </si>
  <si>
    <t>13928AF387</t>
  </si>
  <si>
    <t>1FFCF5480D</t>
  </si>
  <si>
    <t>1CEC5C1AED</t>
  </si>
  <si>
    <t>172226D42A</t>
  </si>
  <si>
    <t>1BD891F8B8</t>
  </si>
  <si>
    <t>1633AA4AFF</t>
  </si>
  <si>
    <t>13923433FD</t>
  </si>
  <si>
    <t>10A9092A76</t>
  </si>
  <si>
    <t>1559A17693</t>
  </si>
  <si>
    <t>197D5DC9C4</t>
  </si>
  <si>
    <t>19E2CC8138</t>
  </si>
  <si>
    <t>1ED9D8003A</t>
  </si>
  <si>
    <t>171E125DCE</t>
  </si>
  <si>
    <t>1.08E+65</t>
  </si>
  <si>
    <t>18D12A1076</t>
  </si>
  <si>
    <t>1B2DDA698C</t>
  </si>
  <si>
    <t>15B3A956D5</t>
  </si>
  <si>
    <t>1EF86E95D8</t>
  </si>
  <si>
    <t>1BF4944431</t>
  </si>
  <si>
    <t>113367E42B</t>
  </si>
  <si>
    <t>14D541DADE</t>
  </si>
  <si>
    <t>18448CDB9F</t>
  </si>
  <si>
    <t>1DE4E0341F</t>
  </si>
  <si>
    <t>1E095762D9</t>
  </si>
  <si>
    <t>1E6C09B8E8</t>
  </si>
  <si>
    <t>1CF5B62A28</t>
  </si>
  <si>
    <t>1053FECB2B</t>
  </si>
  <si>
    <t>1A14590FE2</t>
  </si>
  <si>
    <t>14A75B7E58</t>
  </si>
  <si>
    <t>17BE1EC0F9</t>
  </si>
  <si>
    <t>13D39C81EF</t>
  </si>
  <si>
    <t>1F7EC2169B</t>
  </si>
  <si>
    <t>1AB9478878</t>
  </si>
  <si>
    <t>199C9D9E7A</t>
  </si>
  <si>
    <t>1F6D482069</t>
  </si>
  <si>
    <t>1F138CBA43</t>
  </si>
  <si>
    <t>18A3E17633</t>
  </si>
  <si>
    <t>1C94E545BB</t>
  </si>
  <si>
    <t>17F9F65A41</t>
  </si>
  <si>
    <t>1E5355C25E</t>
  </si>
  <si>
    <t>19A34A75F4</t>
  </si>
  <si>
    <t>1AC1A4B836</t>
  </si>
  <si>
    <t>1DE0FDE558</t>
  </si>
  <si>
    <t>1EB3699B63</t>
  </si>
  <si>
    <t>618THRESH_mean</t>
  </si>
  <si>
    <t>618THRESH_variance</t>
  </si>
  <si>
    <t>618NDRE_mean</t>
  </si>
  <si>
    <t>618NDRE_variance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</si>
</sst>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0" borderId="0" xfId="0" quotePrefix="1"/>
    <xf numFmtId="0" fontId="0" fillId="0" borderId="10" xfId="0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79043-7105-4CA5-8AB5-2F962C68E9AF}">
  <dimension ref="A1:AB337"/>
  <sheetViews>
    <sheetView tabSelected="1" topLeftCell="Q1" workbookViewId="0">
      <selection activeCell="AE17" sqref="AE17"/>
    </sheetView>
  </sheetViews>
  <sheetFormatPr defaultRowHeight="15" x14ac:dyDescent="0.25"/>
  <cols>
    <col min="1" max="1" width="5" bestFit="1" customWidth="1"/>
    <col min="2" max="2" width="10.42578125" bestFit="1" customWidth="1"/>
    <col min="3" max="3" width="11" bestFit="1" customWidth="1"/>
    <col min="4" max="4" width="7.7109375" bestFit="1" customWidth="1"/>
    <col min="5" max="5" width="4" bestFit="1" customWidth="1"/>
    <col min="6" max="6" width="6.28515625" bestFit="1" customWidth="1"/>
    <col min="7" max="7" width="18" bestFit="1" customWidth="1"/>
    <col min="8" max="8" width="11.28515625" bestFit="1" customWidth="1"/>
    <col min="9" max="9" width="5.5703125" bestFit="1" customWidth="1"/>
    <col min="10" max="10" width="8.7109375" bestFit="1" customWidth="1"/>
    <col min="11" max="11" width="8.28515625" bestFit="1" customWidth="1"/>
    <col min="12" max="12" width="12.28515625" bestFit="1" customWidth="1"/>
    <col min="13" max="13" width="5.28515625" bestFit="1" customWidth="1"/>
    <col min="14" max="14" width="13.140625" bestFit="1" customWidth="1"/>
    <col min="15" max="15" width="15.7109375" bestFit="1" customWidth="1"/>
    <col min="16" max="16" width="12.85546875" bestFit="1" customWidth="1"/>
    <col min="17" max="17" width="15.5703125" bestFit="1" customWidth="1"/>
    <col min="18" max="18" width="15.42578125" bestFit="1" customWidth="1"/>
    <col min="19" max="19" width="18.140625" bestFit="1" customWidth="1"/>
    <col min="20" max="20" width="13.140625" bestFit="1" customWidth="1"/>
    <col min="21" max="21" width="15.7109375" bestFit="1" customWidth="1"/>
    <col min="22" max="22" width="12.28515625" bestFit="1" customWidth="1"/>
    <col min="23" max="23" width="15" bestFit="1" customWidth="1"/>
    <col min="24" max="24" width="21" customWidth="1"/>
    <col min="25" max="27" width="20.42578125" customWidth="1"/>
    <col min="28" max="28" width="10.2851562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4" t="s">
        <v>1125</v>
      </c>
      <c r="Y1" s="4" t="s">
        <v>1126</v>
      </c>
      <c r="Z1" s="4" t="s">
        <v>1127</v>
      </c>
      <c r="AA1" s="4" t="s">
        <v>1128</v>
      </c>
      <c r="AB1" t="s">
        <v>23</v>
      </c>
    </row>
    <row r="2" spans="1:28" x14ac:dyDescent="0.25">
      <c r="A2">
        <v>1123</v>
      </c>
      <c r="B2" s="1">
        <v>45448</v>
      </c>
      <c r="C2" t="s">
        <v>27</v>
      </c>
      <c r="D2">
        <v>4.71</v>
      </c>
      <c r="E2">
        <v>905</v>
      </c>
      <c r="F2" t="s">
        <v>28</v>
      </c>
      <c r="G2" t="s">
        <v>29</v>
      </c>
      <c r="H2">
        <v>14004</v>
      </c>
      <c r="I2">
        <f>VLOOKUP(H2,Sheet1!H:AE,2)</f>
        <v>3</v>
      </c>
      <c r="J2" t="str">
        <f>VLOOKUP(H2,Sheet1!H:T,3,FALSE)</f>
        <v>22"</v>
      </c>
      <c r="K2">
        <f>VLOOKUP($H2,Sheet1!H:$AE,4,FALSE)</f>
        <v>150000</v>
      </c>
      <c r="L2" t="str">
        <f>VLOOKUP($H2,Sheet1!$H:$AE,5,FALSE)</f>
        <v>Zorro</v>
      </c>
      <c r="M2">
        <f>VLOOKUP($H2,Sheet1!$H:$AE,13,FALSE)</f>
        <v>1985</v>
      </c>
      <c r="N2">
        <v>2648.5104253873201</v>
      </c>
      <c r="O2">
        <v>1746098.4635994299</v>
      </c>
      <c r="P2">
        <v>15820.179408448301</v>
      </c>
      <c r="Q2">
        <v>20481070.3096321</v>
      </c>
      <c r="R2">
        <v>0.374161405332673</v>
      </c>
      <c r="S2">
        <v>3.4667381087413402E-3</v>
      </c>
      <c r="T2">
        <v>0.249280363300143</v>
      </c>
      <c r="U2">
        <v>4.9886167217846203E-3</v>
      </c>
      <c r="V2">
        <v>1</v>
      </c>
      <c r="W2">
        <v>0</v>
      </c>
      <c r="X2">
        <v>0.63461432278725605</v>
      </c>
      <c r="Y2">
        <v>0.23187898410077901</v>
      </c>
      <c r="Z2">
        <v>0.100795516765079</v>
      </c>
      <c r="AA2">
        <v>1.1483676572164199E-3</v>
      </c>
      <c r="AB2">
        <v>95</v>
      </c>
    </row>
    <row r="3" spans="1:28" x14ac:dyDescent="0.25">
      <c r="A3">
        <v>1124</v>
      </c>
      <c r="B3" s="1">
        <v>45448</v>
      </c>
      <c r="C3" t="s">
        <v>31</v>
      </c>
      <c r="D3">
        <v>4.71</v>
      </c>
      <c r="E3">
        <v>905</v>
      </c>
      <c r="F3" t="s">
        <v>32</v>
      </c>
      <c r="G3" s="2" t="s">
        <v>33</v>
      </c>
      <c r="H3">
        <v>13004</v>
      </c>
      <c r="I3">
        <f>VLOOKUP(H3,Sheet1!H:AE,2)</f>
        <v>3</v>
      </c>
      <c r="J3" t="str">
        <f>VLOOKUP(H3,Sheet1!H:T,3,FALSE)</f>
        <v>22"</v>
      </c>
      <c r="K3">
        <f>VLOOKUP($H3,Sheet1!H:$AE,4,FALSE)</f>
        <v>150000</v>
      </c>
      <c r="L3" t="str">
        <f>VLOOKUP($H3,Sheet1!$H:$AE,5,FALSE)</f>
        <v>Redhawk</v>
      </c>
      <c r="M3">
        <f>VLOOKUP($H3,Sheet1!$H:$AE,13,FALSE)</f>
        <v>821</v>
      </c>
      <c r="N3">
        <v>2650.0769336839699</v>
      </c>
      <c r="O3">
        <v>1204924.8510678899</v>
      </c>
      <c r="P3">
        <v>16666.337713036399</v>
      </c>
      <c r="Q3">
        <v>15995491.1044496</v>
      </c>
      <c r="R3">
        <v>0.35800443742846599</v>
      </c>
      <c r="S3">
        <v>2.4858344554870302E-3</v>
      </c>
      <c r="T3">
        <v>0.22809271485387</v>
      </c>
      <c r="U3">
        <v>2.6127803845936602E-3</v>
      </c>
      <c r="V3">
        <v>0.98711134978981896</v>
      </c>
      <c r="W3">
        <v>1.27225329059745E-2</v>
      </c>
      <c r="X3">
        <v>0.56377741172573004</v>
      </c>
      <c r="Y3">
        <v>0.24593244175394899</v>
      </c>
      <c r="Z3">
        <v>0.101541433721954</v>
      </c>
      <c r="AA3">
        <v>8.1137284474565199E-4</v>
      </c>
      <c r="AB3">
        <v>53</v>
      </c>
    </row>
    <row r="4" spans="1:28" x14ac:dyDescent="0.25">
      <c r="A4">
        <v>1125</v>
      </c>
      <c r="B4" s="1">
        <v>45448</v>
      </c>
      <c r="C4" t="s">
        <v>35</v>
      </c>
      <c r="D4">
        <v>4.71</v>
      </c>
      <c r="E4">
        <v>905</v>
      </c>
      <c r="F4" t="s">
        <v>36</v>
      </c>
      <c r="G4" t="s">
        <v>37</v>
      </c>
      <c r="H4">
        <v>12004</v>
      </c>
      <c r="I4">
        <f>VLOOKUP(H4,Sheet1!H:AE,2)</f>
        <v>3</v>
      </c>
      <c r="J4" t="str">
        <f>VLOOKUP(H4,Sheet1!H:T,3,FALSE)</f>
        <v>22"</v>
      </c>
      <c r="K4">
        <f>VLOOKUP($H4,Sheet1!H:$AE,4,FALSE)</f>
        <v>150000</v>
      </c>
      <c r="L4" t="str">
        <f>VLOOKUP($H4,Sheet1!$H:$AE,5,FALSE)</f>
        <v>Cayenne</v>
      </c>
      <c r="M4">
        <f>VLOOKUP($H4,Sheet1!$H:$AE,13,FALSE)</f>
        <v>1897</v>
      </c>
      <c r="N4">
        <v>2768.7994760117799</v>
      </c>
      <c r="O4">
        <v>1359173.43648147</v>
      </c>
      <c r="P4">
        <v>16644.477868186699</v>
      </c>
      <c r="Q4">
        <v>16886149.6380753</v>
      </c>
      <c r="R4">
        <v>0.35982635798814899</v>
      </c>
      <c r="S4">
        <v>3.0575287490991099E-3</v>
      </c>
      <c r="T4">
        <v>0.23004305739047301</v>
      </c>
      <c r="U4">
        <v>4.0955777444027803E-3</v>
      </c>
      <c r="V4">
        <v>0.85078054110109103</v>
      </c>
      <c r="W4">
        <v>0.12695301198477099</v>
      </c>
      <c r="X4">
        <v>0.36875718952744602</v>
      </c>
      <c r="Y4">
        <v>0.23277532469878801</v>
      </c>
      <c r="Z4">
        <v>0.116475845461096</v>
      </c>
      <c r="AA4">
        <v>8.8454664812347703E-4</v>
      </c>
      <c r="AB4">
        <v>57</v>
      </c>
    </row>
    <row r="5" spans="1:28" x14ac:dyDescent="0.25">
      <c r="A5">
        <v>1126</v>
      </c>
      <c r="B5" s="1">
        <v>45448</v>
      </c>
      <c r="C5" t="s">
        <v>39</v>
      </c>
      <c r="D5">
        <v>4.71</v>
      </c>
      <c r="E5">
        <v>905</v>
      </c>
      <c r="F5" t="s">
        <v>40</v>
      </c>
      <c r="G5" t="s">
        <v>41</v>
      </c>
      <c r="H5">
        <v>11004</v>
      </c>
      <c r="I5">
        <f>VLOOKUP(H5,Sheet1!H:AE,2)</f>
        <v>3</v>
      </c>
      <c r="J5" t="str">
        <f>VLOOKUP(H5,Sheet1!H:T,3,FALSE)</f>
        <v>22"</v>
      </c>
      <c r="K5">
        <f>VLOOKUP($H5,Sheet1!H:$AE,4,FALSE)</f>
        <v>150000</v>
      </c>
      <c r="L5" t="str">
        <f>VLOOKUP($H5,Sheet1!$H:$AE,5,FALSE)</f>
        <v>Windbreaker</v>
      </c>
      <c r="M5">
        <f>VLOOKUP($H5,Sheet1!$H:$AE,13,FALSE)</f>
        <v>1964</v>
      </c>
      <c r="N5">
        <v>2623.8885562045102</v>
      </c>
      <c r="O5">
        <v>2033207.21285138</v>
      </c>
      <c r="P5">
        <v>16174.9612823401</v>
      </c>
      <c r="Q5">
        <v>19747833.9157167</v>
      </c>
      <c r="R5">
        <v>0.37351338526405597</v>
      </c>
      <c r="S5">
        <v>2.7929082614369998E-3</v>
      </c>
      <c r="T5">
        <v>0.23476085682320799</v>
      </c>
      <c r="U5">
        <v>4.4131266048098201E-3</v>
      </c>
      <c r="V5">
        <v>0.99985185459528503</v>
      </c>
      <c r="W5">
        <v>1.48123457653872E-4</v>
      </c>
      <c r="X5">
        <v>0.67725904861820496</v>
      </c>
      <c r="Y5">
        <v>0.21857922968280299</v>
      </c>
      <c r="Z5">
        <v>0.13521569368244701</v>
      </c>
      <c r="AA5">
        <v>9.0151645924958703E-4</v>
      </c>
      <c r="AB5">
        <v>71</v>
      </c>
    </row>
    <row r="6" spans="1:28" x14ac:dyDescent="0.25">
      <c r="A6">
        <v>1127</v>
      </c>
      <c r="B6" s="1">
        <v>45448</v>
      </c>
      <c r="C6" t="s">
        <v>43</v>
      </c>
      <c r="D6">
        <v>4.71</v>
      </c>
      <c r="E6">
        <v>905</v>
      </c>
      <c r="F6" t="s">
        <v>44</v>
      </c>
      <c r="G6" t="s">
        <v>45</v>
      </c>
      <c r="H6">
        <v>10004</v>
      </c>
      <c r="I6">
        <f>VLOOKUP(H6,Sheet1!H:AE,2)</f>
        <v>3</v>
      </c>
      <c r="J6" t="str">
        <f>VLOOKUP(H6,Sheet1!H:T,3,FALSE)</f>
        <v>22"</v>
      </c>
      <c r="K6">
        <f>VLOOKUP($H6,Sheet1!H:$AE,4,FALSE)</f>
        <v>150000</v>
      </c>
      <c r="L6" t="str">
        <f>VLOOKUP($H6,Sheet1!$H:$AE,5,FALSE)</f>
        <v>Eclipse</v>
      </c>
      <c r="M6">
        <f>VLOOKUP($H6,Sheet1!$H:$AE,13,FALSE)</f>
        <v>1693</v>
      </c>
      <c r="N6">
        <v>2341.0078401245</v>
      </c>
      <c r="O6">
        <v>1269082.12309545</v>
      </c>
      <c r="P6">
        <v>15830.240339120501</v>
      </c>
      <c r="Q6">
        <v>17925003.070313901</v>
      </c>
      <c r="R6">
        <v>0.39021857308337399</v>
      </c>
      <c r="S6">
        <v>2.8976653917139801E-3</v>
      </c>
      <c r="T6">
        <v>0.23160746916500799</v>
      </c>
      <c r="U6">
        <v>3.77616249654516E-3</v>
      </c>
      <c r="V6">
        <v>0.810307789177377</v>
      </c>
      <c r="W6">
        <v>0.15370907597592701</v>
      </c>
      <c r="X6">
        <v>0.17085223664957999</v>
      </c>
      <c r="Y6">
        <v>0.14166174988137301</v>
      </c>
      <c r="Z6">
        <v>7.7678776515304901E-2</v>
      </c>
      <c r="AA6">
        <v>1.12397102936487E-3</v>
      </c>
      <c r="AB6">
        <v>65</v>
      </c>
    </row>
    <row r="7" spans="1:28" x14ac:dyDescent="0.25">
      <c r="A7">
        <v>1128</v>
      </c>
      <c r="B7" s="1">
        <v>45448</v>
      </c>
      <c r="C7" t="s">
        <v>47</v>
      </c>
      <c r="D7">
        <v>4.71</v>
      </c>
      <c r="E7">
        <v>905</v>
      </c>
      <c r="F7" t="s">
        <v>48</v>
      </c>
      <c r="G7" t="s">
        <v>49</v>
      </c>
      <c r="H7">
        <v>9004</v>
      </c>
      <c r="I7">
        <f>VLOOKUP(H7,Sheet1!H:AE,2)</f>
        <v>2</v>
      </c>
      <c r="J7" t="str">
        <f>VLOOKUP(H7,Sheet1!H:T,3,FALSE)</f>
        <v>22"</v>
      </c>
      <c r="K7">
        <f>VLOOKUP($H7,Sheet1!H:$AE,4,FALSE)</f>
        <v>150000</v>
      </c>
      <c r="L7" t="str">
        <f>VLOOKUP($H7,Sheet1!$H:$AE,5,FALSE)</f>
        <v>CLERK</v>
      </c>
      <c r="M7">
        <f>VLOOKUP($H7,Sheet1!$H:$AE,13,FALSE)</f>
        <v>839</v>
      </c>
      <c r="N7">
        <v>2883.1387556509799</v>
      </c>
      <c r="O7">
        <v>2522768.3576367302</v>
      </c>
      <c r="P7">
        <v>16075.220897937799</v>
      </c>
      <c r="Q7">
        <v>19682199.7336253</v>
      </c>
      <c r="R7">
        <v>0.37081626613527602</v>
      </c>
      <c r="S7">
        <v>2.9562069546528501E-3</v>
      </c>
      <c r="T7">
        <v>0.239340292204862</v>
      </c>
      <c r="U7">
        <v>4.9820970271545898E-3</v>
      </c>
      <c r="V7">
        <v>1</v>
      </c>
      <c r="W7">
        <v>0</v>
      </c>
      <c r="X7">
        <v>0.90202177293934604</v>
      </c>
      <c r="Y7">
        <v>8.8378494082625603E-2</v>
      </c>
      <c r="Z7">
        <v>0.10209411788841601</v>
      </c>
      <c r="AA7">
        <v>8.5563714117808899E-4</v>
      </c>
      <c r="AB7">
        <v>84</v>
      </c>
    </row>
    <row r="8" spans="1:28" x14ac:dyDescent="0.25">
      <c r="A8">
        <v>1129</v>
      </c>
      <c r="B8" s="1">
        <v>45448</v>
      </c>
      <c r="C8" t="s">
        <v>51</v>
      </c>
      <c r="D8">
        <v>4.71</v>
      </c>
      <c r="E8">
        <v>905</v>
      </c>
      <c r="F8" t="s">
        <v>52</v>
      </c>
      <c r="G8" t="s">
        <v>53</v>
      </c>
      <c r="H8">
        <v>8004</v>
      </c>
      <c r="I8">
        <f>VLOOKUP(H8,Sheet1!H:AE,2)</f>
        <v>2</v>
      </c>
      <c r="J8" t="str">
        <f>VLOOKUP(H8,Sheet1!H:T,3,FALSE)</f>
        <v>22"</v>
      </c>
      <c r="K8">
        <f>VLOOKUP($H8,Sheet1!H:$AE,4,FALSE)</f>
        <v>150000</v>
      </c>
      <c r="L8" t="str">
        <f>VLOOKUP($H8,Sheet1!$H:$AE,5,FALSE)</f>
        <v>Red Rover</v>
      </c>
      <c r="M8">
        <f>VLOOKUP($H8,Sheet1!$H:$AE,13,FALSE)</f>
        <v>994</v>
      </c>
      <c r="N8">
        <v>2734.6440263961399</v>
      </c>
      <c r="O8">
        <v>2977435.5304087801</v>
      </c>
      <c r="P8">
        <v>16039.587720720499</v>
      </c>
      <c r="Q8">
        <v>24524406.680318199</v>
      </c>
      <c r="R8">
        <v>0.37344470214822301</v>
      </c>
      <c r="S8">
        <v>3.9762759391805801E-3</v>
      </c>
      <c r="T8">
        <v>0.243279586425798</v>
      </c>
      <c r="U8">
        <v>6.5227014039953698E-3</v>
      </c>
      <c r="V8">
        <v>0.99994444547323202</v>
      </c>
      <c r="W8" s="2">
        <v>5.5551440462567702E-5</v>
      </c>
      <c r="X8">
        <v>0.90578296399911595</v>
      </c>
      <c r="Y8">
        <v>8.5340186128198797E-2</v>
      </c>
      <c r="Z8">
        <v>9.6373351045459299E-2</v>
      </c>
      <c r="AA8">
        <v>9.1612187112057898E-4</v>
      </c>
      <c r="AB8">
        <v>84</v>
      </c>
    </row>
    <row r="9" spans="1:28" x14ac:dyDescent="0.25">
      <c r="A9">
        <v>1130</v>
      </c>
      <c r="B9" s="1">
        <v>45448</v>
      </c>
      <c r="C9" t="s">
        <v>55</v>
      </c>
      <c r="D9">
        <v>4.71</v>
      </c>
      <c r="E9">
        <v>905</v>
      </c>
      <c r="F9" t="s">
        <v>56</v>
      </c>
      <c r="G9" t="s">
        <v>57</v>
      </c>
      <c r="H9">
        <v>7004</v>
      </c>
      <c r="I9">
        <f>VLOOKUP(H9,Sheet1!H:AE,2)</f>
        <v>2</v>
      </c>
      <c r="J9" t="str">
        <f>VLOOKUP(H9,Sheet1!H:T,3,FALSE)</f>
        <v>22"</v>
      </c>
      <c r="K9">
        <f>VLOOKUP($H9,Sheet1!H:$AE,4,FALSE)</f>
        <v>150000</v>
      </c>
      <c r="L9" t="str">
        <f>VLOOKUP($H9,Sheet1!$H:$AE,5,FALSE)</f>
        <v>Red Dawn</v>
      </c>
      <c r="M9">
        <f>VLOOKUP($H9,Sheet1!$H:$AE,13,FALSE)</f>
        <v>700</v>
      </c>
      <c r="N9">
        <v>2865.1413769329301</v>
      </c>
      <c r="O9">
        <v>2889643.9659674</v>
      </c>
      <c r="P9">
        <v>16264.2039438263</v>
      </c>
      <c r="Q9">
        <v>18243754.737572499</v>
      </c>
      <c r="R9">
        <v>0.356100632858324</v>
      </c>
      <c r="S9">
        <v>3.1595106906389201E-3</v>
      </c>
      <c r="T9">
        <v>0.234247318105095</v>
      </c>
      <c r="U9">
        <v>5.6627158690716996E-3</v>
      </c>
      <c r="V9">
        <v>0.96777837447454695</v>
      </c>
      <c r="W9">
        <v>3.1183392374009199E-2</v>
      </c>
      <c r="X9">
        <v>0.60827313302351205</v>
      </c>
      <c r="Y9">
        <v>0.238276928665385</v>
      </c>
      <c r="Z9">
        <v>9.3056265944980301E-2</v>
      </c>
      <c r="AA9">
        <v>9.3336123640364304E-4</v>
      </c>
      <c r="AB9">
        <v>63</v>
      </c>
    </row>
    <row r="10" spans="1:28" x14ac:dyDescent="0.25">
      <c r="A10">
        <v>1131</v>
      </c>
      <c r="B10" s="1">
        <v>45448</v>
      </c>
      <c r="C10" t="s">
        <v>59</v>
      </c>
      <c r="D10">
        <v>4.71</v>
      </c>
      <c r="E10">
        <v>905</v>
      </c>
      <c r="F10" t="s">
        <v>60</v>
      </c>
      <c r="G10" t="s">
        <v>61</v>
      </c>
      <c r="H10">
        <v>6004</v>
      </c>
      <c r="I10">
        <f>VLOOKUP(H10,Sheet1!H:AE,2)</f>
        <v>2</v>
      </c>
      <c r="J10" t="str">
        <f>VLOOKUP(H10,Sheet1!H:T,3,FALSE)</f>
        <v>22"</v>
      </c>
      <c r="K10">
        <f>VLOOKUP($H10,Sheet1!H:$AE,4,FALSE)</f>
        <v>150000</v>
      </c>
      <c r="L10" t="str">
        <f>VLOOKUP($H10,Sheet1!$H:$AE,5,FALSE)</f>
        <v>T9905</v>
      </c>
      <c r="M10">
        <f>VLOOKUP($H10,Sheet1!$H:$AE,13,FALSE)</f>
        <v>2396</v>
      </c>
      <c r="N10">
        <v>2608.43077771649</v>
      </c>
      <c r="O10">
        <v>1315844.32150251</v>
      </c>
      <c r="P10">
        <v>16185.3417661855</v>
      </c>
      <c r="Q10">
        <v>15835865.717137599</v>
      </c>
      <c r="R10">
        <v>0.35720250528827102</v>
      </c>
      <c r="S10">
        <v>2.5329642122400402E-3</v>
      </c>
      <c r="T10">
        <v>0.22171642758900101</v>
      </c>
      <c r="U10">
        <v>3.1122489533833E-3</v>
      </c>
      <c r="V10">
        <v>0.99727782818836697</v>
      </c>
      <c r="W10">
        <v>2.7147615922616798E-3</v>
      </c>
      <c r="X10">
        <v>0.57213060443201003</v>
      </c>
      <c r="Y10">
        <v>0.244797175904922</v>
      </c>
      <c r="Z10">
        <v>8.5872909838574096E-2</v>
      </c>
      <c r="AA10">
        <v>8.7433742098954204E-4</v>
      </c>
      <c r="AB10">
        <v>61</v>
      </c>
    </row>
    <row r="11" spans="1:28" x14ac:dyDescent="0.25">
      <c r="A11">
        <v>1132</v>
      </c>
      <c r="B11" s="1">
        <v>45448</v>
      </c>
      <c r="C11" t="s">
        <v>63</v>
      </c>
      <c r="D11">
        <v>4.71</v>
      </c>
      <c r="E11">
        <v>905</v>
      </c>
      <c r="F11" t="s">
        <v>64</v>
      </c>
      <c r="G11" t="s">
        <v>65</v>
      </c>
      <c r="H11">
        <v>5004</v>
      </c>
      <c r="I11">
        <f>VLOOKUP(H11,Sheet1!H:AE,2)</f>
        <v>1</v>
      </c>
      <c r="J11" t="str">
        <f>VLOOKUP(H11,Sheet1!H:T,3,FALSE)</f>
        <v>22"</v>
      </c>
      <c r="K11">
        <f>VLOOKUP($H11,Sheet1!H:$AE,4,FALSE)</f>
        <v>150000</v>
      </c>
      <c r="L11" t="str">
        <f>VLOOKUP($H11,Sheet1!$H:$AE,5,FALSE)</f>
        <v>Ronnies red</v>
      </c>
      <c r="M11">
        <f>VLOOKUP($H11,Sheet1!$H:$AE,13,FALSE)</f>
        <v>988</v>
      </c>
      <c r="N11">
        <v>2967.8137674949999</v>
      </c>
      <c r="O11">
        <v>3274480.2860533502</v>
      </c>
      <c r="P11">
        <v>16174.7912277993</v>
      </c>
      <c r="Q11">
        <v>18347065.811328501</v>
      </c>
      <c r="R11">
        <v>0.35419234978215502</v>
      </c>
      <c r="S11">
        <v>3.0469032141964901E-3</v>
      </c>
      <c r="T11">
        <v>0.23395861493600301</v>
      </c>
      <c r="U11">
        <v>5.5424891953478302E-3</v>
      </c>
      <c r="V11">
        <v>0.99990741083663603</v>
      </c>
      <c r="W11" s="2">
        <v>9.2580590611147294E-5</v>
      </c>
      <c r="X11">
        <v>0.70771255302897795</v>
      </c>
      <c r="Y11">
        <v>0.20685549531469299</v>
      </c>
      <c r="Z11">
        <v>9.0307155243878806E-2</v>
      </c>
      <c r="AA11">
        <v>9.5910824056944801E-4</v>
      </c>
      <c r="AB11">
        <v>73</v>
      </c>
    </row>
    <row r="12" spans="1:28" x14ac:dyDescent="0.25">
      <c r="A12">
        <v>1133</v>
      </c>
      <c r="B12" s="1">
        <v>45448</v>
      </c>
      <c r="C12" t="s">
        <v>67</v>
      </c>
      <c r="D12">
        <v>4.71</v>
      </c>
      <c r="E12">
        <v>905</v>
      </c>
      <c r="F12" t="s">
        <v>68</v>
      </c>
      <c r="G12" t="s">
        <v>69</v>
      </c>
      <c r="H12">
        <v>4004</v>
      </c>
      <c r="I12">
        <f>VLOOKUP(H12,Sheet1!H:AE,2)</f>
        <v>1</v>
      </c>
      <c r="J12" t="str">
        <f>VLOOKUP(H12,Sheet1!H:T,3,FALSE)</f>
        <v>22"</v>
      </c>
      <c r="K12">
        <f>VLOOKUP($H12,Sheet1!H:$AE,4,FALSE)</f>
        <v>150000</v>
      </c>
      <c r="L12" t="str">
        <f>VLOOKUP($H12,Sheet1!$H:$AE,5,FALSE)</f>
        <v>Merlot</v>
      </c>
      <c r="M12">
        <f>VLOOKUP($H12,Sheet1!$H:$AE,13,FALSE)</f>
        <v>2033</v>
      </c>
      <c r="N12">
        <v>2580.4686844412099</v>
      </c>
      <c r="O12">
        <v>1069805.3382827099</v>
      </c>
      <c r="P12">
        <v>16611.2610090491</v>
      </c>
      <c r="Q12">
        <v>14939708.2409788</v>
      </c>
      <c r="R12">
        <v>0.35062413006292897</v>
      </c>
      <c r="S12">
        <v>2.5761498576273301E-3</v>
      </c>
      <c r="T12">
        <v>0.22588639118825901</v>
      </c>
      <c r="U12">
        <v>3.0994080151781501E-3</v>
      </c>
      <c r="V12">
        <v>0.99931481481481499</v>
      </c>
      <c r="W12">
        <v>6.8471570644628203E-4</v>
      </c>
      <c r="X12">
        <v>0.57510836255210995</v>
      </c>
      <c r="Y12">
        <v>0.24435873387478099</v>
      </c>
      <c r="Z12">
        <v>9.4957034091235501E-2</v>
      </c>
      <c r="AA12">
        <v>8.4252624967331795E-4</v>
      </c>
      <c r="AB12">
        <v>55</v>
      </c>
    </row>
    <row r="13" spans="1:28" x14ac:dyDescent="0.25">
      <c r="A13">
        <v>1134</v>
      </c>
      <c r="B13" s="1">
        <v>45448</v>
      </c>
      <c r="C13" t="s">
        <v>71</v>
      </c>
      <c r="D13">
        <v>4.71</v>
      </c>
      <c r="E13">
        <v>905</v>
      </c>
      <c r="F13" t="s">
        <v>72</v>
      </c>
      <c r="G13" t="s">
        <v>73</v>
      </c>
      <c r="H13">
        <v>3004</v>
      </c>
      <c r="I13">
        <f>VLOOKUP(H13,Sheet1!H:AE,2)</f>
        <v>1</v>
      </c>
      <c r="J13" t="str">
        <f>VLOOKUP(H13,Sheet1!H:T,3,FALSE)</f>
        <v>22"</v>
      </c>
      <c r="K13">
        <f>VLOOKUP($H13,Sheet1!H:$AE,4,FALSE)</f>
        <v>150000</v>
      </c>
      <c r="L13" t="str">
        <f>VLOOKUP($H13,Sheet1!$H:$AE,5,FALSE)</f>
        <v>Apex</v>
      </c>
      <c r="M13">
        <f>VLOOKUP($H13,Sheet1!$H:$AE,13,FALSE)</f>
        <v>2070</v>
      </c>
      <c r="N13">
        <v>2911.3660064413798</v>
      </c>
      <c r="O13">
        <v>2691614.9519834998</v>
      </c>
      <c r="P13">
        <v>15834.8732199674</v>
      </c>
      <c r="Q13">
        <v>18238242.569875401</v>
      </c>
      <c r="R13">
        <v>0.36419508095061898</v>
      </c>
      <c r="S13">
        <v>3.4112521342724001E-3</v>
      </c>
      <c r="T13">
        <v>0.243686050595429</v>
      </c>
      <c r="U13">
        <v>6.6725625249548903E-3</v>
      </c>
      <c r="V13">
        <v>1</v>
      </c>
      <c r="W13">
        <v>0</v>
      </c>
      <c r="X13">
        <v>0.62852226087276597</v>
      </c>
      <c r="Y13">
        <v>0.233482028459774</v>
      </c>
      <c r="Z13">
        <v>0.10455132394219099</v>
      </c>
      <c r="AA13">
        <v>9.9505154427514996E-4</v>
      </c>
      <c r="AB13">
        <v>84</v>
      </c>
    </row>
    <row r="14" spans="1:28" x14ac:dyDescent="0.25">
      <c r="A14">
        <v>1135</v>
      </c>
      <c r="B14" s="1">
        <v>45448</v>
      </c>
      <c r="C14" t="s">
        <v>75</v>
      </c>
      <c r="D14">
        <v>4.71</v>
      </c>
      <c r="E14">
        <v>905</v>
      </c>
      <c r="F14" t="s">
        <v>76</v>
      </c>
      <c r="G14" t="s">
        <v>77</v>
      </c>
      <c r="H14">
        <v>2004</v>
      </c>
      <c r="I14">
        <f>VLOOKUP(H14,Sheet1!H:AE,2)</f>
        <v>1</v>
      </c>
      <c r="J14" t="str">
        <f>VLOOKUP(H14,Sheet1!H:T,3,FALSE)</f>
        <v>22"</v>
      </c>
      <c r="K14">
        <f>VLOOKUP($H14,Sheet1!H:$AE,4,FALSE)</f>
        <v>150000</v>
      </c>
      <c r="L14" t="str">
        <f>VLOOKUP($H14,Sheet1!$H:$AE,5,FALSE)</f>
        <v>ETNA</v>
      </c>
      <c r="M14">
        <f>VLOOKUP($H14,Sheet1!$H:$AE,13,FALSE)</f>
        <v>246</v>
      </c>
      <c r="N14">
        <v>2451.13653107456</v>
      </c>
      <c r="O14">
        <v>1970058.8295223899</v>
      </c>
      <c r="P14">
        <v>16091.417076255901</v>
      </c>
      <c r="Q14">
        <v>15964356.4472623</v>
      </c>
      <c r="R14">
        <v>0.372549633057358</v>
      </c>
      <c r="S14">
        <v>2.5000474872207898E-3</v>
      </c>
      <c r="T14">
        <v>0.23581318269742099</v>
      </c>
      <c r="U14">
        <v>3.9945258395771999E-3</v>
      </c>
      <c r="V14">
        <v>0.50275915706825702</v>
      </c>
      <c r="W14">
        <v>0.249992387052309</v>
      </c>
      <c r="X14">
        <v>0.34951777957741198</v>
      </c>
      <c r="Y14">
        <v>0.22735510133616399</v>
      </c>
      <c r="Z14">
        <v>0.112081175519989</v>
      </c>
      <c r="AA14">
        <v>8.9400752769505903E-4</v>
      </c>
      <c r="AB14">
        <v>12</v>
      </c>
    </row>
    <row r="15" spans="1:28" x14ac:dyDescent="0.25">
      <c r="A15">
        <v>1137</v>
      </c>
      <c r="B15" s="1">
        <v>45448</v>
      </c>
      <c r="C15" t="s">
        <v>81</v>
      </c>
      <c r="D15">
        <v>4.71</v>
      </c>
      <c r="E15">
        <v>905</v>
      </c>
      <c r="F15" t="s">
        <v>82</v>
      </c>
      <c r="G15" t="s">
        <v>83</v>
      </c>
      <c r="H15">
        <v>1005</v>
      </c>
      <c r="I15">
        <f>VLOOKUP(H15,Sheet1!H:AE,2)</f>
        <v>1</v>
      </c>
      <c r="J15" t="str">
        <f>VLOOKUP(H15,Sheet1!H:T,3,FALSE)</f>
        <v>22"</v>
      </c>
      <c r="K15">
        <f>VLOOKUP($H15,Sheet1!H:$AE,4,FALSE)</f>
        <v>75000</v>
      </c>
      <c r="L15" t="str">
        <f>VLOOKUP($H15,Sheet1!$H:$AE,5,FALSE)</f>
        <v>Nautica</v>
      </c>
      <c r="M15">
        <f>VLOOKUP($H15,Sheet1!$H:$AE,13,FALSE)</f>
        <v>640</v>
      </c>
      <c r="N15">
        <v>2237.41964936472</v>
      </c>
      <c r="O15">
        <v>1175209.8584950401</v>
      </c>
      <c r="P15">
        <v>15688.4695272223</v>
      </c>
      <c r="Q15">
        <v>14047032.803415401</v>
      </c>
      <c r="R15">
        <v>0.387879892767443</v>
      </c>
      <c r="S15">
        <v>2.1613910752844201E-3</v>
      </c>
      <c r="T15">
        <v>0.24123308047355799</v>
      </c>
      <c r="U15">
        <v>2.7985804663915601E-3</v>
      </c>
      <c r="V15">
        <v>0.96062890053519501</v>
      </c>
      <c r="W15">
        <v>3.7821015991788901E-2</v>
      </c>
      <c r="X15">
        <v>0.45493447691967898</v>
      </c>
      <c r="Y15">
        <v>0.24796909862964001</v>
      </c>
      <c r="Z15">
        <v>0</v>
      </c>
      <c r="AA15">
        <v>0</v>
      </c>
      <c r="AB15">
        <v>54</v>
      </c>
    </row>
    <row r="16" spans="1:28" x14ac:dyDescent="0.25">
      <c r="A16">
        <v>1138</v>
      </c>
      <c r="B16" s="1">
        <v>45448</v>
      </c>
      <c r="C16" t="s">
        <v>84</v>
      </c>
      <c r="D16">
        <v>4.71</v>
      </c>
      <c r="E16">
        <v>905</v>
      </c>
      <c r="F16" t="s">
        <v>85</v>
      </c>
      <c r="G16" t="s">
        <v>86</v>
      </c>
      <c r="H16">
        <v>2005</v>
      </c>
      <c r="I16">
        <f>VLOOKUP(H16,Sheet1!H:AE,2)</f>
        <v>1</v>
      </c>
      <c r="J16" t="str">
        <f>VLOOKUP(H16,Sheet1!H:T,3,FALSE)</f>
        <v>22"</v>
      </c>
      <c r="K16">
        <f>VLOOKUP($H16,Sheet1!H:$AE,4,FALSE)</f>
        <v>75000</v>
      </c>
      <c r="L16" t="str">
        <f>VLOOKUP($H16,Sheet1!$H:$AE,5,FALSE)</f>
        <v>Merlot</v>
      </c>
      <c r="M16">
        <f>VLOOKUP($H16,Sheet1!$H:$AE,13,FALSE)</f>
        <v>1184</v>
      </c>
      <c r="N16">
        <v>2411.8851832517498</v>
      </c>
      <c r="O16">
        <v>1132512.8502229301</v>
      </c>
      <c r="P16">
        <v>16434.6058468257</v>
      </c>
      <c r="Q16">
        <v>14549168.822275599</v>
      </c>
      <c r="R16">
        <v>0.364453669134092</v>
      </c>
      <c r="S16">
        <v>2.1239679553952599E-3</v>
      </c>
      <c r="T16">
        <v>0.22723889937893199</v>
      </c>
      <c r="U16">
        <v>1.94604774308484E-3</v>
      </c>
      <c r="V16">
        <v>0.87178252657308997</v>
      </c>
      <c r="W16">
        <v>0.11177775293471701</v>
      </c>
      <c r="X16">
        <v>0.40045275934736302</v>
      </c>
      <c r="Y16">
        <v>0.24009034687823699</v>
      </c>
      <c r="Z16">
        <v>0.10455132394219099</v>
      </c>
      <c r="AA16">
        <v>9.9505154427514996E-4</v>
      </c>
      <c r="AB16">
        <v>27</v>
      </c>
    </row>
    <row r="17" spans="1:28" x14ac:dyDescent="0.25">
      <c r="A17">
        <v>1139</v>
      </c>
      <c r="B17" s="1">
        <v>45448</v>
      </c>
      <c r="C17" t="s">
        <v>87</v>
      </c>
      <c r="D17">
        <v>4.71</v>
      </c>
      <c r="E17">
        <v>905</v>
      </c>
      <c r="F17" t="s">
        <v>88</v>
      </c>
      <c r="G17" t="s">
        <v>89</v>
      </c>
      <c r="H17">
        <v>3005</v>
      </c>
      <c r="I17">
        <f>VLOOKUP(H17,Sheet1!H:AE,2)</f>
        <v>1</v>
      </c>
      <c r="J17" t="str">
        <f>VLOOKUP(H17,Sheet1!H:T,3,FALSE)</f>
        <v>22"</v>
      </c>
      <c r="K17">
        <f>VLOOKUP($H17,Sheet1!H:$AE,4,FALSE)</f>
        <v>75000</v>
      </c>
      <c r="L17" t="str">
        <f>VLOOKUP($H17,Sheet1!$H:$AE,5,FALSE)</f>
        <v>Apex</v>
      </c>
      <c r="M17">
        <f>VLOOKUP($H17,Sheet1!$H:$AE,13,FALSE)</f>
        <v>1880</v>
      </c>
      <c r="N17">
        <v>2651.6107888231199</v>
      </c>
      <c r="O17">
        <v>1845620.3696067401</v>
      </c>
      <c r="P17">
        <v>16364.801387900899</v>
      </c>
      <c r="Q17">
        <v>15204823.1613017</v>
      </c>
      <c r="R17">
        <v>0.35989719562100803</v>
      </c>
      <c r="S17">
        <v>2.5177146625877502E-3</v>
      </c>
      <c r="T17">
        <v>0.229940762970051</v>
      </c>
      <c r="U17">
        <v>3.0752664066439899E-3</v>
      </c>
      <c r="V17">
        <v>0.99996296296296305</v>
      </c>
      <c r="W17" s="2">
        <v>3.7035665294919802E-5</v>
      </c>
      <c r="X17">
        <v>0.45919681967092402</v>
      </c>
      <c r="Y17">
        <v>0.248335100474571</v>
      </c>
      <c r="Z17">
        <v>9.4957034091235501E-2</v>
      </c>
      <c r="AA17">
        <v>8.4252624967331795E-4</v>
      </c>
      <c r="AB17">
        <v>54</v>
      </c>
    </row>
    <row r="18" spans="1:28" x14ac:dyDescent="0.25">
      <c r="A18">
        <v>1140</v>
      </c>
      <c r="B18" s="1">
        <v>45448</v>
      </c>
      <c r="C18" t="s">
        <v>90</v>
      </c>
      <c r="D18">
        <v>4.71</v>
      </c>
      <c r="E18">
        <v>905</v>
      </c>
      <c r="F18" t="s">
        <v>91</v>
      </c>
      <c r="G18" t="s">
        <v>92</v>
      </c>
      <c r="H18">
        <v>4005</v>
      </c>
      <c r="I18">
        <f>VLOOKUP(H18,Sheet1!H:AE,2)</f>
        <v>1</v>
      </c>
      <c r="J18" t="str">
        <f>VLOOKUP(H18,Sheet1!H:T,3,FALSE)</f>
        <v>22"</v>
      </c>
      <c r="K18">
        <f>VLOOKUP($H18,Sheet1!H:$AE,4,FALSE)</f>
        <v>75000</v>
      </c>
      <c r="L18" t="str">
        <f>VLOOKUP($H18,Sheet1!$H:$AE,5,FALSE)</f>
        <v>black bear</v>
      </c>
      <c r="M18">
        <f>VLOOKUP($H18,Sheet1!$H:$AE,13,FALSE)</f>
        <v>2013</v>
      </c>
      <c r="N18">
        <v>2670.0617656039199</v>
      </c>
      <c r="O18">
        <v>1094762.10225319</v>
      </c>
      <c r="P18">
        <v>16892.044081874399</v>
      </c>
      <c r="Q18">
        <v>14610821.389558099</v>
      </c>
      <c r="R18">
        <v>0.35111245618033199</v>
      </c>
      <c r="S18">
        <v>2.2829024374058202E-3</v>
      </c>
      <c r="T18">
        <v>0.223673703299375</v>
      </c>
      <c r="U18">
        <v>2.2868216772495699E-3</v>
      </c>
      <c r="V18">
        <v>0.98840719272579103</v>
      </c>
      <c r="W18">
        <v>1.14584140936928E-2</v>
      </c>
      <c r="X18">
        <v>0.46965876463225997</v>
      </c>
      <c r="Y18">
        <v>0.24907940943616599</v>
      </c>
      <c r="Z18">
        <v>9.0307155243878806E-2</v>
      </c>
      <c r="AA18">
        <v>9.5910824056944801E-4</v>
      </c>
      <c r="AB18">
        <v>46</v>
      </c>
    </row>
    <row r="19" spans="1:28" x14ac:dyDescent="0.25">
      <c r="A19">
        <v>1141</v>
      </c>
      <c r="B19" s="1">
        <v>45448</v>
      </c>
      <c r="C19" t="s">
        <v>93</v>
      </c>
      <c r="D19">
        <v>4.71</v>
      </c>
      <c r="E19">
        <v>905</v>
      </c>
      <c r="F19" t="s">
        <v>94</v>
      </c>
      <c r="G19" t="s">
        <v>95</v>
      </c>
      <c r="H19">
        <v>5005</v>
      </c>
      <c r="I19">
        <f>VLOOKUP(H19,Sheet1!H:AE,2)</f>
        <v>1</v>
      </c>
      <c r="J19" t="str">
        <f>VLOOKUP(H19,Sheet1!H:T,3,FALSE)</f>
        <v>22"</v>
      </c>
      <c r="K19">
        <f>VLOOKUP($H19,Sheet1!H:$AE,4,FALSE)</f>
        <v>75000</v>
      </c>
      <c r="L19" t="str">
        <f>VLOOKUP($H19,Sheet1!$H:$AE,5,FALSE)</f>
        <v>ETNA</v>
      </c>
      <c r="M19">
        <f>VLOOKUP($H19,Sheet1!$H:$AE,13,FALSE)</f>
        <v>963</v>
      </c>
      <c r="N19">
        <v>2838.8236302213099</v>
      </c>
      <c r="O19">
        <v>1447736.8302364999</v>
      </c>
      <c r="P19">
        <v>16616.6954918886</v>
      </c>
      <c r="Q19">
        <v>15188649.1316672</v>
      </c>
      <c r="R19">
        <v>0.354242031610842</v>
      </c>
      <c r="S19">
        <v>2.8467606146477401E-3</v>
      </c>
      <c r="T19">
        <v>0.22488630054001801</v>
      </c>
      <c r="U19">
        <v>3.76892874103579E-3</v>
      </c>
      <c r="V19">
        <v>0.99901855486833802</v>
      </c>
      <c r="W19">
        <v>9.8048189711549003E-4</v>
      </c>
      <c r="X19">
        <v>0.62132241292044299</v>
      </c>
      <c r="Y19">
        <v>0.235280872123559</v>
      </c>
      <c r="Z19">
        <v>8.5872909838574096E-2</v>
      </c>
      <c r="AA19">
        <v>8.7433742098954204E-4</v>
      </c>
      <c r="AB19">
        <v>57</v>
      </c>
    </row>
    <row r="20" spans="1:28" x14ac:dyDescent="0.25">
      <c r="A20">
        <v>1142</v>
      </c>
      <c r="B20" s="1">
        <v>45448</v>
      </c>
      <c r="C20" t="s">
        <v>96</v>
      </c>
      <c r="D20">
        <v>4.71</v>
      </c>
      <c r="E20">
        <v>905</v>
      </c>
      <c r="F20" t="s">
        <v>97</v>
      </c>
      <c r="G20" t="s">
        <v>98</v>
      </c>
      <c r="H20">
        <v>6005</v>
      </c>
      <c r="I20">
        <f>VLOOKUP(H20,Sheet1!H:AE,2)</f>
        <v>2</v>
      </c>
      <c r="J20" t="str">
        <f>VLOOKUP(H20,Sheet1!H:T,3,FALSE)</f>
        <v>22"</v>
      </c>
      <c r="K20">
        <f>VLOOKUP($H20,Sheet1!H:$AE,4,FALSE)</f>
        <v>75000</v>
      </c>
      <c r="L20" t="str">
        <f>VLOOKUP($H20,Sheet1!$H:$AE,5,FALSE)</f>
        <v>Zorro</v>
      </c>
      <c r="M20">
        <f>VLOOKUP($H20,Sheet1!$H:$AE,13,FALSE)</f>
        <v>2134</v>
      </c>
      <c r="N20">
        <v>2635.11745296957</v>
      </c>
      <c r="O20">
        <v>1318860.7837523101</v>
      </c>
      <c r="P20">
        <v>16598.2032533981</v>
      </c>
      <c r="Q20">
        <v>17528508.449444901</v>
      </c>
      <c r="R20">
        <v>0.35315363061486199</v>
      </c>
      <c r="S20">
        <v>2.5099680127324301E-3</v>
      </c>
      <c r="T20">
        <v>0.215125088981068</v>
      </c>
      <c r="U20">
        <v>2.67505675033626E-3</v>
      </c>
      <c r="V20">
        <v>0.95044260898551802</v>
      </c>
      <c r="W20">
        <v>4.7101456010350297E-2</v>
      </c>
      <c r="X20">
        <v>0.60522707403487697</v>
      </c>
      <c r="Y20">
        <v>0.238927262889603</v>
      </c>
      <c r="Z20">
        <v>9.0332477784697399E-2</v>
      </c>
      <c r="AA20">
        <v>1.02611903384868E-3</v>
      </c>
      <c r="AB20">
        <v>46</v>
      </c>
    </row>
    <row r="21" spans="1:28" x14ac:dyDescent="0.25">
      <c r="A21">
        <v>1143</v>
      </c>
      <c r="B21" s="1">
        <v>45448</v>
      </c>
      <c r="C21" t="s">
        <v>99</v>
      </c>
      <c r="D21">
        <v>4.71</v>
      </c>
      <c r="E21">
        <v>905</v>
      </c>
      <c r="F21" t="s">
        <v>100</v>
      </c>
      <c r="G21" t="s">
        <v>101</v>
      </c>
      <c r="H21">
        <v>7005</v>
      </c>
      <c r="I21">
        <f>VLOOKUP(H21,Sheet1!H:AE,2)</f>
        <v>2</v>
      </c>
      <c r="J21" t="str">
        <f>VLOOKUP(H21,Sheet1!H:T,3,FALSE)</f>
        <v>22"</v>
      </c>
      <c r="K21">
        <f>VLOOKUP($H21,Sheet1!H:$AE,4,FALSE)</f>
        <v>75000</v>
      </c>
      <c r="L21" t="str">
        <f>VLOOKUP($H21,Sheet1!$H:$AE,5,FALSE)</f>
        <v>T9905</v>
      </c>
      <c r="M21">
        <f>VLOOKUP($H21,Sheet1!$H:$AE,13,FALSE)</f>
        <v>1669</v>
      </c>
      <c r="N21">
        <v>2624.5203096682699</v>
      </c>
      <c r="O21">
        <v>1323450.72157556</v>
      </c>
      <c r="P21">
        <v>16796.0141230222</v>
      </c>
      <c r="Q21">
        <v>15726107.920138</v>
      </c>
      <c r="R21">
        <v>0.34378481285991203</v>
      </c>
      <c r="S21">
        <v>2.2949064602243198E-3</v>
      </c>
      <c r="T21">
        <v>0.217300146624264</v>
      </c>
      <c r="U21">
        <v>2.2032491916505201E-3</v>
      </c>
      <c r="V21">
        <v>0.93288764606751995</v>
      </c>
      <c r="W21">
        <v>6.2608285882109205E-2</v>
      </c>
      <c r="X21">
        <v>0.35723816798107899</v>
      </c>
      <c r="Y21">
        <v>0.22961905931848101</v>
      </c>
      <c r="Z21">
        <v>9.3056265944980301E-2</v>
      </c>
      <c r="AA21">
        <v>9.3336123640364304E-4</v>
      </c>
      <c r="AB21">
        <v>35</v>
      </c>
    </row>
    <row r="22" spans="1:28" x14ac:dyDescent="0.25">
      <c r="A22">
        <v>1144</v>
      </c>
      <c r="B22" s="1">
        <v>45448</v>
      </c>
      <c r="C22" t="s">
        <v>102</v>
      </c>
      <c r="D22">
        <v>4.71</v>
      </c>
      <c r="E22">
        <v>905</v>
      </c>
      <c r="F22" t="s">
        <v>103</v>
      </c>
      <c r="G22" t="s">
        <v>104</v>
      </c>
      <c r="H22">
        <v>8005</v>
      </c>
      <c r="I22">
        <f>VLOOKUP(H22,Sheet1!H:AE,2)</f>
        <v>2</v>
      </c>
      <c r="J22" t="str">
        <f>VLOOKUP(H22,Sheet1!H:T,3,FALSE)</f>
        <v>22"</v>
      </c>
      <c r="K22">
        <f>VLOOKUP($H22,Sheet1!H:$AE,4,FALSE)</f>
        <v>75000</v>
      </c>
      <c r="L22" t="str">
        <f>VLOOKUP($H22,Sheet1!$H:$AE,5,FALSE)</f>
        <v>Cayenne</v>
      </c>
      <c r="M22">
        <f>VLOOKUP($H22,Sheet1!$H:$AE,13,FALSE)</f>
        <v>1947</v>
      </c>
      <c r="N22">
        <v>2526.5495277211398</v>
      </c>
      <c r="O22">
        <v>1373333.1705739</v>
      </c>
      <c r="P22">
        <v>16894.058491338801</v>
      </c>
      <c r="Q22">
        <v>16752141.622140501</v>
      </c>
      <c r="R22">
        <v>0.34912363483766201</v>
      </c>
      <c r="S22">
        <v>2.3396693774228698E-3</v>
      </c>
      <c r="T22">
        <v>0.221481832004264</v>
      </c>
      <c r="U22">
        <v>2.1966474750835601E-3</v>
      </c>
      <c r="V22">
        <v>0.63462962962962999</v>
      </c>
      <c r="W22">
        <v>0.23187486282601899</v>
      </c>
      <c r="X22">
        <v>0.49033285173971802</v>
      </c>
      <c r="Y22">
        <v>0.24990654624495801</v>
      </c>
      <c r="Z22">
        <v>9.6373351045459299E-2</v>
      </c>
      <c r="AA22">
        <v>9.1612187112057898E-4</v>
      </c>
      <c r="AB22">
        <v>24</v>
      </c>
    </row>
    <row r="23" spans="1:28" x14ac:dyDescent="0.25">
      <c r="A23">
        <v>1145</v>
      </c>
      <c r="B23" s="1">
        <v>45448</v>
      </c>
      <c r="C23" t="s">
        <v>105</v>
      </c>
      <c r="D23">
        <v>4.71</v>
      </c>
      <c r="E23">
        <v>905</v>
      </c>
      <c r="F23" t="s">
        <v>106</v>
      </c>
      <c r="G23" t="s">
        <v>107</v>
      </c>
      <c r="H23">
        <v>9005</v>
      </c>
      <c r="I23">
        <f>VLOOKUP(H23,Sheet1!H:AE,2)</f>
        <v>2</v>
      </c>
      <c r="J23" t="str">
        <f>VLOOKUP(H23,Sheet1!H:T,3,FALSE)</f>
        <v>22"</v>
      </c>
      <c r="K23">
        <f>VLOOKUP($H23,Sheet1!H:$AE,4,FALSE)</f>
        <v>75000</v>
      </c>
      <c r="L23" t="str">
        <f>VLOOKUP($H23,Sheet1!$H:$AE,5,FALSE)</f>
        <v>Red Dawn</v>
      </c>
      <c r="M23">
        <f>VLOOKUP($H23,Sheet1!$H:$AE,13,FALSE)</f>
        <v>667</v>
      </c>
      <c r="N23">
        <v>2677.9108745112298</v>
      </c>
      <c r="O23">
        <v>1833547.9408702599</v>
      </c>
      <c r="P23">
        <v>16503.495043800602</v>
      </c>
      <c r="Q23">
        <v>17487104.131034199</v>
      </c>
      <c r="R23">
        <v>0.359767415338755</v>
      </c>
      <c r="S23">
        <v>2.5731049085547701E-3</v>
      </c>
      <c r="T23">
        <v>0.22493584199295899</v>
      </c>
      <c r="U23">
        <v>3.10948293024182E-3</v>
      </c>
      <c r="V23">
        <v>0.99388888888888904</v>
      </c>
      <c r="W23">
        <v>6.0737654320924704E-3</v>
      </c>
      <c r="X23">
        <v>0.59929140017484905</v>
      </c>
      <c r="Y23">
        <v>0.240141217851046</v>
      </c>
      <c r="Z23">
        <v>0.10209411788841601</v>
      </c>
      <c r="AA23">
        <v>8.5563714117808899E-4</v>
      </c>
      <c r="AB23">
        <v>47</v>
      </c>
    </row>
    <row r="24" spans="1:28" x14ac:dyDescent="0.25">
      <c r="A24">
        <v>1146</v>
      </c>
      <c r="B24" s="1">
        <v>45448</v>
      </c>
      <c r="C24" t="s">
        <v>108</v>
      </c>
      <c r="D24">
        <v>4.71</v>
      </c>
      <c r="E24">
        <v>905</v>
      </c>
      <c r="F24" t="s">
        <v>109</v>
      </c>
      <c r="G24" t="s">
        <v>110</v>
      </c>
      <c r="H24">
        <v>10005</v>
      </c>
      <c r="I24">
        <f>VLOOKUP(H24,Sheet1!H:AE,2)</f>
        <v>3</v>
      </c>
      <c r="J24" t="str">
        <f>VLOOKUP(H24,Sheet1!H:T,3,FALSE)</f>
        <v>22"</v>
      </c>
      <c r="K24">
        <f>VLOOKUP($H24,Sheet1!H:$AE,4,FALSE)</f>
        <v>75000</v>
      </c>
      <c r="L24" t="str">
        <f>VLOOKUP($H24,Sheet1!$H:$AE,5,FALSE)</f>
        <v>Redhawk</v>
      </c>
      <c r="M24">
        <f>VLOOKUP($H24,Sheet1!$H:$AE,13,FALSE)</f>
        <v>657</v>
      </c>
      <c r="N24">
        <v>2338.7515685173698</v>
      </c>
      <c r="O24">
        <v>1631269.63735301</v>
      </c>
      <c r="P24">
        <v>15878.417152935799</v>
      </c>
      <c r="Q24">
        <v>19127975.478993598</v>
      </c>
      <c r="R24">
        <v>0.393667742339118</v>
      </c>
      <c r="S24">
        <v>3.13007596794916E-3</v>
      </c>
      <c r="T24">
        <v>0.23744577261438499</v>
      </c>
      <c r="U24">
        <v>4.13349579588905E-3</v>
      </c>
      <c r="V24">
        <v>1</v>
      </c>
      <c r="W24">
        <v>0</v>
      </c>
      <c r="X24">
        <v>0.63651003993889499</v>
      </c>
      <c r="Y24">
        <v>0.231365008996055</v>
      </c>
      <c r="Z24">
        <v>7.7678776515304901E-2</v>
      </c>
      <c r="AA24">
        <v>1.12397102936487E-3</v>
      </c>
      <c r="AB24">
        <v>79</v>
      </c>
    </row>
    <row r="25" spans="1:28" x14ac:dyDescent="0.25">
      <c r="A25">
        <v>1147</v>
      </c>
      <c r="B25" s="1">
        <v>45448</v>
      </c>
      <c r="C25" t="s">
        <v>111</v>
      </c>
      <c r="D25">
        <v>4.71</v>
      </c>
      <c r="E25">
        <v>905</v>
      </c>
      <c r="F25" t="s">
        <v>112</v>
      </c>
      <c r="G25" t="s">
        <v>113</v>
      </c>
      <c r="H25">
        <v>11005</v>
      </c>
      <c r="I25">
        <f>VLOOKUP(H25,Sheet1!H:AE,2)</f>
        <v>3</v>
      </c>
      <c r="J25" t="str">
        <f>VLOOKUP(H25,Sheet1!H:T,3,FALSE)</f>
        <v>22"</v>
      </c>
      <c r="K25">
        <f>VLOOKUP($H25,Sheet1!H:$AE,4,FALSE)</f>
        <v>75000</v>
      </c>
      <c r="L25" t="str">
        <f>VLOOKUP($H25,Sheet1!$H:$AE,5,FALSE)</f>
        <v>Ronnies red</v>
      </c>
      <c r="M25">
        <f>VLOOKUP($H25,Sheet1!$H:$AE,13,FALSE)</f>
        <v>974</v>
      </c>
      <c r="N25">
        <v>2526.6738500935699</v>
      </c>
      <c r="O25">
        <v>2056423.51001546</v>
      </c>
      <c r="P25">
        <v>16340.435733811601</v>
      </c>
      <c r="Q25">
        <v>16298802.6167142</v>
      </c>
      <c r="R25">
        <v>0.35767129760948102</v>
      </c>
      <c r="S25">
        <v>3.1013872509090398E-3</v>
      </c>
      <c r="T25">
        <v>0.23046723809587699</v>
      </c>
      <c r="U25">
        <v>2.90559848746034E-3</v>
      </c>
      <c r="V25">
        <v>0.99801844512759696</v>
      </c>
      <c r="W25">
        <v>1.9776283126909499E-3</v>
      </c>
      <c r="X25">
        <v>0.56051570868532896</v>
      </c>
      <c r="Y25">
        <v>0.24633784900296399</v>
      </c>
      <c r="Z25">
        <v>0.13521569368244701</v>
      </c>
      <c r="AA25">
        <v>9.0151645924958703E-4</v>
      </c>
      <c r="AB25">
        <v>42</v>
      </c>
    </row>
    <row r="26" spans="1:28" x14ac:dyDescent="0.25">
      <c r="A26">
        <v>1148</v>
      </c>
      <c r="B26" s="1">
        <v>45448</v>
      </c>
      <c r="C26" t="s">
        <v>114</v>
      </c>
      <c r="D26">
        <v>4.71</v>
      </c>
      <c r="E26">
        <v>905</v>
      </c>
      <c r="F26" t="s">
        <v>115</v>
      </c>
      <c r="G26" t="s">
        <v>116</v>
      </c>
      <c r="H26">
        <v>12005</v>
      </c>
      <c r="I26">
        <f>VLOOKUP(H26,Sheet1!H:AE,2)</f>
        <v>3</v>
      </c>
      <c r="J26" t="str">
        <f>VLOOKUP(H26,Sheet1!H:T,3,FALSE)</f>
        <v>22"</v>
      </c>
      <c r="K26">
        <f>VLOOKUP($H26,Sheet1!H:$AE,4,FALSE)</f>
        <v>75000</v>
      </c>
      <c r="L26" t="str">
        <f>VLOOKUP($H26,Sheet1!$H:$AE,5,FALSE)</f>
        <v>Eclipse</v>
      </c>
      <c r="M26">
        <f>VLOOKUP($H26,Sheet1!$H:$AE,13,FALSE)</f>
        <v>1606</v>
      </c>
      <c r="N26">
        <v>2685.1461439968498</v>
      </c>
      <c r="O26">
        <v>1221149.9096573901</v>
      </c>
      <c r="P26">
        <v>16521.7656556035</v>
      </c>
      <c r="Q26">
        <v>13889098.7714203</v>
      </c>
      <c r="R26">
        <v>0.33667344492352402</v>
      </c>
      <c r="S26">
        <v>2.83098910714527E-3</v>
      </c>
      <c r="T26">
        <v>0.22680542955135999</v>
      </c>
      <c r="U26">
        <v>2.7263342541122798E-3</v>
      </c>
      <c r="V26">
        <v>0.96479434042631995</v>
      </c>
      <c r="W26">
        <v>3.3966221107633698E-2</v>
      </c>
      <c r="X26">
        <v>0.50057054514668498</v>
      </c>
      <c r="Y26">
        <v>0.24999967447798799</v>
      </c>
      <c r="Z26">
        <v>0.116475845461096</v>
      </c>
      <c r="AA26">
        <v>8.8454664812347703E-4</v>
      </c>
      <c r="AB26">
        <v>62</v>
      </c>
    </row>
    <row r="27" spans="1:28" x14ac:dyDescent="0.25">
      <c r="A27">
        <v>1149</v>
      </c>
      <c r="B27" s="1">
        <v>45448</v>
      </c>
      <c r="C27" t="s">
        <v>117</v>
      </c>
      <c r="D27">
        <v>4.71</v>
      </c>
      <c r="E27">
        <v>905</v>
      </c>
      <c r="F27" t="s">
        <v>118</v>
      </c>
      <c r="G27" t="s">
        <v>119</v>
      </c>
      <c r="H27">
        <v>13005</v>
      </c>
      <c r="I27">
        <f>VLOOKUP(H27,Sheet1!H:AE,2)</f>
        <v>3</v>
      </c>
      <c r="J27" t="str">
        <f>VLOOKUP(H27,Sheet1!H:T,3,FALSE)</f>
        <v>22"</v>
      </c>
      <c r="K27">
        <f>VLOOKUP($H27,Sheet1!H:$AE,4,FALSE)</f>
        <v>75000</v>
      </c>
      <c r="L27" t="str">
        <f>VLOOKUP($H27,Sheet1!$H:$AE,5,FALSE)</f>
        <v>CLERK</v>
      </c>
      <c r="M27">
        <f>VLOOKUP($H27,Sheet1!$H:$AE,13,FALSE)</f>
        <v>838</v>
      </c>
      <c r="N27">
        <v>2663.39891856755</v>
      </c>
      <c r="O27">
        <v>1550027.32570618</v>
      </c>
      <c r="P27">
        <v>16785.525152942999</v>
      </c>
      <c r="Q27">
        <v>16682590.055363899</v>
      </c>
      <c r="R27">
        <v>0.34531807724436098</v>
      </c>
      <c r="S27">
        <v>2.2722416533344698E-3</v>
      </c>
      <c r="T27">
        <v>0.22556725454661999</v>
      </c>
      <c r="U27">
        <v>2.3540523390846398E-3</v>
      </c>
      <c r="V27">
        <v>0.998388829215897</v>
      </c>
      <c r="W27">
        <v>1.6085749128075201E-3</v>
      </c>
      <c r="X27">
        <v>0.60208898909492403</v>
      </c>
      <c r="Y27">
        <v>0.23957783830578699</v>
      </c>
      <c r="Z27">
        <v>0.101541433721954</v>
      </c>
      <c r="AA27">
        <v>8.1137284474565199E-4</v>
      </c>
      <c r="AB27">
        <v>58</v>
      </c>
    </row>
    <row r="28" spans="1:28" x14ac:dyDescent="0.25">
      <c r="A28">
        <v>1150</v>
      </c>
      <c r="B28" s="1">
        <v>45448</v>
      </c>
      <c r="C28" t="s">
        <v>120</v>
      </c>
      <c r="D28">
        <v>4.71</v>
      </c>
      <c r="E28">
        <v>905</v>
      </c>
      <c r="F28" t="s">
        <v>121</v>
      </c>
      <c r="G28" t="s">
        <v>122</v>
      </c>
      <c r="H28">
        <v>14005</v>
      </c>
      <c r="I28">
        <f>VLOOKUP(H28,Sheet1!H:AE,2)</f>
        <v>3</v>
      </c>
      <c r="J28" t="str">
        <f>VLOOKUP(H28,Sheet1!H:T,3,FALSE)</f>
        <v>22"</v>
      </c>
      <c r="K28">
        <f>VLOOKUP($H28,Sheet1!H:$AE,4,FALSE)</f>
        <v>75000</v>
      </c>
      <c r="L28" t="str">
        <f>VLOOKUP($H28,Sheet1!$H:$AE,5,FALSE)</f>
        <v>Windbreaker</v>
      </c>
      <c r="M28">
        <f>VLOOKUP($H28,Sheet1!$H:$AE,13,FALSE)</f>
        <v>1572</v>
      </c>
      <c r="N28">
        <v>2544.7203754592301</v>
      </c>
      <c r="O28">
        <v>1555699.16175145</v>
      </c>
      <c r="P28">
        <v>16051.0083627729</v>
      </c>
      <c r="Q28">
        <v>15853548.1237507</v>
      </c>
      <c r="R28">
        <v>0.35648878267383</v>
      </c>
      <c r="S28">
        <v>2.6538559605942601E-3</v>
      </c>
      <c r="T28">
        <v>0.22656725129615499</v>
      </c>
      <c r="U28">
        <v>3.2653262122868598E-3</v>
      </c>
      <c r="V28">
        <v>1</v>
      </c>
      <c r="W28">
        <v>0</v>
      </c>
      <c r="X28">
        <v>0.55792166678936905</v>
      </c>
      <c r="Y28">
        <v>0.24664508051645301</v>
      </c>
      <c r="Z28">
        <v>0.100795516765079</v>
      </c>
      <c r="AA28">
        <v>1.1483676572164199E-3</v>
      </c>
      <c r="AB28">
        <v>60</v>
      </c>
    </row>
    <row r="29" spans="1:28" x14ac:dyDescent="0.25">
      <c r="A29">
        <v>1151</v>
      </c>
      <c r="B29" s="1">
        <v>45448</v>
      </c>
      <c r="C29" t="s">
        <v>123</v>
      </c>
      <c r="D29">
        <v>4.71</v>
      </c>
      <c r="E29">
        <v>905</v>
      </c>
      <c r="F29" t="s">
        <v>124</v>
      </c>
      <c r="G29" t="s">
        <v>125</v>
      </c>
      <c r="H29">
        <v>15005</v>
      </c>
      <c r="I29">
        <f>VLOOKUP(H29,Sheet1!H:AE,2)</f>
        <v>3</v>
      </c>
      <c r="J29" t="str">
        <f>VLOOKUP(H29,Sheet1!H:T,3,FALSE)</f>
        <v>22"</v>
      </c>
      <c r="K29">
        <f>VLOOKUP($H29,Sheet1!H:$AE,4,FALSE)</f>
        <v>75000</v>
      </c>
      <c r="L29" t="str">
        <f>VLOOKUP($H29,Sheet1!$H:$AE,5,FALSE)</f>
        <v>Red Rover</v>
      </c>
      <c r="M29">
        <f>VLOOKUP($H29,Sheet1!$H:$AE,13,FALSE)</f>
        <v>949</v>
      </c>
      <c r="N29">
        <v>2270.26168620112</v>
      </c>
      <c r="O29">
        <v>1192182.5069069101</v>
      </c>
      <c r="P29">
        <v>15667.946521612899</v>
      </c>
      <c r="Q29">
        <v>16964319.649133898</v>
      </c>
      <c r="R29">
        <v>0.355028953218749</v>
      </c>
      <c r="S29">
        <v>2.4249607786386001E-3</v>
      </c>
      <c r="T29">
        <v>0.222129593293481</v>
      </c>
      <c r="U29">
        <v>2.7142829426280799E-3</v>
      </c>
      <c r="V29">
        <v>1</v>
      </c>
      <c r="W29">
        <v>0</v>
      </c>
      <c r="X29">
        <v>0.56973662415106796</v>
      </c>
      <c r="Y29">
        <v>0.245136803251675</v>
      </c>
      <c r="Z29">
        <v>8.4192931908469798E-2</v>
      </c>
      <c r="AA29">
        <v>2.9695728572760498E-3</v>
      </c>
      <c r="AB29">
        <v>52</v>
      </c>
    </row>
    <row r="30" spans="1:28" x14ac:dyDescent="0.25">
      <c r="A30">
        <v>1152</v>
      </c>
      <c r="B30" s="1">
        <v>45448</v>
      </c>
      <c r="C30" t="s">
        <v>126</v>
      </c>
      <c r="D30">
        <v>4.71</v>
      </c>
      <c r="E30">
        <v>905</v>
      </c>
      <c r="F30" t="s">
        <v>24</v>
      </c>
      <c r="G30" t="s">
        <v>127</v>
      </c>
      <c r="H30">
        <v>15006</v>
      </c>
      <c r="I30">
        <f>VLOOKUP(H30,Sheet1!H:AE,2)</f>
        <v>3</v>
      </c>
      <c r="J30" t="str">
        <f>VLOOKUP(H30,Sheet1!H:T,3,FALSE)</f>
        <v>22"</v>
      </c>
      <c r="K30">
        <f>VLOOKUP($H30,Sheet1!H:$AE,4,FALSE)</f>
        <v>100000</v>
      </c>
      <c r="L30" t="str">
        <f>VLOOKUP($H30,Sheet1!$H:$AE,5,FALSE)</f>
        <v>Nautica</v>
      </c>
      <c r="M30">
        <f>VLOOKUP($H30,Sheet1!$H:$AE,13,FALSE)</f>
        <v>1353</v>
      </c>
      <c r="N30">
        <v>2445.7630848025201</v>
      </c>
      <c r="O30">
        <v>1387781.72285278</v>
      </c>
      <c r="P30">
        <v>15929.457581267399</v>
      </c>
      <c r="Q30">
        <v>16412776.8147809</v>
      </c>
      <c r="R30">
        <v>0.357456987698208</v>
      </c>
      <c r="S30">
        <v>2.4413312889076601E-3</v>
      </c>
      <c r="T30">
        <v>0.22438120627132799</v>
      </c>
      <c r="U30">
        <v>2.7674301783355E-3</v>
      </c>
      <c r="V30">
        <v>0.97627689914441296</v>
      </c>
      <c r="W30">
        <v>2.31603153413725E-2</v>
      </c>
      <c r="X30">
        <v>0.50063037776652997</v>
      </c>
      <c r="Y30">
        <v>0.24999960262406501</v>
      </c>
      <c r="Z30">
        <v>8.4192931908469798E-2</v>
      </c>
      <c r="AA30">
        <v>2.9695728572760498E-3</v>
      </c>
      <c r="AB30">
        <v>64</v>
      </c>
    </row>
    <row r="31" spans="1:28" x14ac:dyDescent="0.25">
      <c r="A31">
        <v>1153</v>
      </c>
      <c r="B31" s="1">
        <v>45448</v>
      </c>
      <c r="C31" t="s">
        <v>128</v>
      </c>
      <c r="D31">
        <v>4.71</v>
      </c>
      <c r="E31">
        <v>905</v>
      </c>
      <c r="F31" t="s">
        <v>28</v>
      </c>
      <c r="G31" t="s">
        <v>129</v>
      </c>
      <c r="H31">
        <v>14006</v>
      </c>
      <c r="I31">
        <f>VLOOKUP(H31,Sheet1!H:AE,2)</f>
        <v>3</v>
      </c>
      <c r="J31" t="str">
        <f>VLOOKUP(H31,Sheet1!H:T,3,FALSE)</f>
        <v>22"</v>
      </c>
      <c r="K31">
        <f>VLOOKUP($H31,Sheet1!H:$AE,4,FALSE)</f>
        <v>100000</v>
      </c>
      <c r="L31" t="str">
        <f>VLOOKUP($H31,Sheet1!$H:$AE,5,FALSE)</f>
        <v>Red Dawn</v>
      </c>
      <c r="M31">
        <f>VLOOKUP($H31,Sheet1!$H:$AE,13,FALSE)</f>
        <v>705</v>
      </c>
      <c r="N31">
        <v>2607.8846362194799</v>
      </c>
      <c r="O31">
        <v>1667989.89965376</v>
      </c>
      <c r="P31">
        <v>15662.089979164901</v>
      </c>
      <c r="Q31">
        <v>17199396.6534306</v>
      </c>
      <c r="R31">
        <v>0.36761390150100898</v>
      </c>
      <c r="S31">
        <v>3.00312622879139E-3</v>
      </c>
      <c r="T31">
        <v>0.23985857842629399</v>
      </c>
      <c r="U31">
        <v>4.7456840921898096E-3</v>
      </c>
      <c r="V31">
        <v>1</v>
      </c>
      <c r="W31">
        <v>0</v>
      </c>
      <c r="X31">
        <v>0.62748580525826603</v>
      </c>
      <c r="Y31">
        <v>0.233747369457347</v>
      </c>
      <c r="Z31">
        <v>0.100795516765079</v>
      </c>
      <c r="AA31">
        <v>1.1483676572164199E-3</v>
      </c>
      <c r="AB31">
        <v>71</v>
      </c>
    </row>
    <row r="32" spans="1:28" x14ac:dyDescent="0.25">
      <c r="A32">
        <v>1154</v>
      </c>
      <c r="B32" s="1">
        <v>45448</v>
      </c>
      <c r="C32" t="s">
        <v>130</v>
      </c>
      <c r="D32">
        <v>4.71</v>
      </c>
      <c r="E32">
        <v>905</v>
      </c>
      <c r="F32" t="s">
        <v>32</v>
      </c>
      <c r="G32" s="2" t="s">
        <v>131</v>
      </c>
      <c r="H32">
        <v>13006</v>
      </c>
      <c r="I32">
        <f>VLOOKUP(H32,Sheet1!H:AE,2)</f>
        <v>3</v>
      </c>
      <c r="J32" t="str">
        <f>VLOOKUP(H32,Sheet1!H:T,3,FALSE)</f>
        <v>22"</v>
      </c>
      <c r="K32">
        <f>VLOOKUP($H32,Sheet1!H:$AE,4,FALSE)</f>
        <v>100000</v>
      </c>
      <c r="L32" t="str">
        <f>VLOOKUP($H32,Sheet1!$H:$AE,5,FALSE)</f>
        <v>T9905</v>
      </c>
      <c r="M32">
        <f>VLOOKUP($H32,Sheet1!$H:$AE,13,FALSE)</f>
        <v>2324</v>
      </c>
      <c r="N32">
        <v>2589.4330050231501</v>
      </c>
      <c r="O32">
        <v>1186994.2830769301</v>
      </c>
      <c r="P32">
        <v>16901.374675682298</v>
      </c>
      <c r="Q32">
        <v>15494449.1683027</v>
      </c>
      <c r="R32">
        <v>0.34000493721110198</v>
      </c>
      <c r="S32">
        <v>2.4566851285347802E-3</v>
      </c>
      <c r="T32">
        <v>0.21808812311620901</v>
      </c>
      <c r="U32">
        <v>1.7525579907199699E-3</v>
      </c>
      <c r="V32">
        <v>0.97474167623421404</v>
      </c>
      <c r="W32">
        <v>2.4620340846317298E-2</v>
      </c>
      <c r="X32">
        <v>0.327001831350137</v>
      </c>
      <c r="Y32">
        <v>0.22007163364399099</v>
      </c>
      <c r="Z32">
        <v>0.101541433721954</v>
      </c>
      <c r="AA32">
        <v>8.1137284474565199E-4</v>
      </c>
      <c r="AB32">
        <v>31</v>
      </c>
    </row>
    <row r="33" spans="1:28" x14ac:dyDescent="0.25">
      <c r="A33">
        <v>1155</v>
      </c>
      <c r="B33" s="1">
        <v>45448</v>
      </c>
      <c r="C33" t="s">
        <v>132</v>
      </c>
      <c r="D33">
        <v>4.71</v>
      </c>
      <c r="E33">
        <v>905</v>
      </c>
      <c r="F33" t="s">
        <v>36</v>
      </c>
      <c r="G33" t="s">
        <v>133</v>
      </c>
      <c r="H33">
        <v>12006</v>
      </c>
      <c r="I33">
        <f>VLOOKUP(H33,Sheet1!H:AE,2)</f>
        <v>3</v>
      </c>
      <c r="J33" t="str">
        <f>VLOOKUP(H33,Sheet1!H:T,3,FALSE)</f>
        <v>22"</v>
      </c>
      <c r="K33">
        <f>VLOOKUP($H33,Sheet1!H:$AE,4,FALSE)</f>
        <v>100000</v>
      </c>
      <c r="L33" t="str">
        <f>VLOOKUP($H33,Sheet1!$H:$AE,5,FALSE)</f>
        <v>Ronnies red</v>
      </c>
      <c r="M33">
        <f>VLOOKUP($H33,Sheet1!$H:$AE,13,FALSE)</f>
        <v>828</v>
      </c>
      <c r="N33">
        <v>2857.0097605657402</v>
      </c>
      <c r="O33">
        <v>2591970.5887199799</v>
      </c>
      <c r="P33">
        <v>16321.254173323399</v>
      </c>
      <c r="Q33">
        <v>18100898.685669702</v>
      </c>
      <c r="R33">
        <v>0.328956823081412</v>
      </c>
      <c r="S33">
        <v>3.4453486327426998E-3</v>
      </c>
      <c r="T33">
        <v>0.23087611491105001</v>
      </c>
      <c r="U33">
        <v>4.3600717815256698E-3</v>
      </c>
      <c r="V33">
        <v>1</v>
      </c>
      <c r="W33">
        <v>0</v>
      </c>
      <c r="X33">
        <v>0.70363689906500704</v>
      </c>
      <c r="Y33">
        <v>0.208532013339257</v>
      </c>
      <c r="Z33">
        <v>0.116475845461096</v>
      </c>
      <c r="AA33">
        <v>8.8454664812347703E-4</v>
      </c>
      <c r="AB33">
        <v>71</v>
      </c>
    </row>
    <row r="34" spans="1:28" x14ac:dyDescent="0.25">
      <c r="A34">
        <v>1156</v>
      </c>
      <c r="B34" s="1">
        <v>45448</v>
      </c>
      <c r="C34" t="s">
        <v>134</v>
      </c>
      <c r="D34">
        <v>4.71</v>
      </c>
      <c r="E34">
        <v>905</v>
      </c>
      <c r="F34" t="s">
        <v>40</v>
      </c>
      <c r="G34" t="s">
        <v>135</v>
      </c>
      <c r="H34">
        <v>11006</v>
      </c>
      <c r="I34">
        <f>VLOOKUP(H34,Sheet1!H:AE,2)</f>
        <v>3</v>
      </c>
      <c r="J34" t="str">
        <f>VLOOKUP(H34,Sheet1!H:T,3,FALSE)</f>
        <v>22"</v>
      </c>
      <c r="K34">
        <f>VLOOKUP($H34,Sheet1!H:$AE,4,FALSE)</f>
        <v>100000</v>
      </c>
      <c r="L34" t="str">
        <f>VLOOKUP($H34,Sheet1!$H:$AE,5,FALSE)</f>
        <v>Redhawk</v>
      </c>
      <c r="M34">
        <f>VLOOKUP($H34,Sheet1!$H:$AE,13,FALSE)</f>
        <v>1079</v>
      </c>
      <c r="N34">
        <v>2581.0150697344602</v>
      </c>
      <c r="O34">
        <v>1636451.5401952399</v>
      </c>
      <c r="P34">
        <v>15970.737926182301</v>
      </c>
      <c r="Q34">
        <v>17871037.6781638</v>
      </c>
      <c r="R34">
        <v>0.34713629936267998</v>
      </c>
      <c r="S34">
        <v>3.4320849287260802E-3</v>
      </c>
      <c r="T34">
        <v>0.236652636055948</v>
      </c>
      <c r="U34">
        <v>4.0405692159786403E-3</v>
      </c>
      <c r="V34">
        <v>0.99385139639973297</v>
      </c>
      <c r="W34">
        <v>6.1107982740535799E-3</v>
      </c>
      <c r="X34">
        <v>0.72379585150829095</v>
      </c>
      <c r="Y34">
        <v>0.199915416847743</v>
      </c>
      <c r="Z34">
        <v>0.13521569368244701</v>
      </c>
      <c r="AA34">
        <v>9.0151645924958703E-4</v>
      </c>
      <c r="AB34">
        <v>82</v>
      </c>
    </row>
    <row r="35" spans="1:28" x14ac:dyDescent="0.25">
      <c r="A35">
        <v>1157</v>
      </c>
      <c r="B35" s="1">
        <v>45448</v>
      </c>
      <c r="C35" t="s">
        <v>136</v>
      </c>
      <c r="D35">
        <v>4.71</v>
      </c>
      <c r="E35">
        <v>905</v>
      </c>
      <c r="F35" t="s">
        <v>44</v>
      </c>
      <c r="G35" t="s">
        <v>137</v>
      </c>
      <c r="H35">
        <v>10006</v>
      </c>
      <c r="I35">
        <f>VLOOKUP(H35,Sheet1!H:AE,2)</f>
        <v>3</v>
      </c>
      <c r="J35" t="str">
        <f>VLOOKUP(H35,Sheet1!H:T,3,FALSE)</f>
        <v>22"</v>
      </c>
      <c r="K35">
        <f>VLOOKUP($H35,Sheet1!H:$AE,4,FALSE)</f>
        <v>100000</v>
      </c>
      <c r="L35" t="str">
        <f>VLOOKUP($H35,Sheet1!$H:$AE,5,FALSE)</f>
        <v>ETNA</v>
      </c>
      <c r="M35">
        <f>VLOOKUP($H35,Sheet1!$H:$AE,13,FALSE)</f>
        <v>1050</v>
      </c>
      <c r="N35">
        <v>2396.0541120850999</v>
      </c>
      <c r="O35">
        <v>1355246.1556654</v>
      </c>
      <c r="P35">
        <v>15591.748583726499</v>
      </c>
      <c r="Q35">
        <v>17733481.742917798</v>
      </c>
      <c r="R35">
        <v>0.40041212069892002</v>
      </c>
      <c r="S35">
        <v>2.9399337088389199E-3</v>
      </c>
      <c r="T35">
        <v>0.24800320099478201</v>
      </c>
      <c r="U35">
        <v>5.0353159070260596E-3</v>
      </c>
      <c r="V35">
        <v>1</v>
      </c>
      <c r="W35">
        <v>0</v>
      </c>
      <c r="X35">
        <v>0.73827578590885601</v>
      </c>
      <c r="Y35">
        <v>0.19322464984934701</v>
      </c>
      <c r="Z35">
        <v>7.7678776515304901E-2</v>
      </c>
      <c r="AA35">
        <v>1.12397102936487E-3</v>
      </c>
      <c r="AB35">
        <v>83</v>
      </c>
    </row>
    <row r="36" spans="1:28" x14ac:dyDescent="0.25">
      <c r="A36">
        <v>1158</v>
      </c>
      <c r="B36" s="1">
        <v>45448</v>
      </c>
      <c r="C36" t="s">
        <v>138</v>
      </c>
      <c r="D36">
        <v>4.71</v>
      </c>
      <c r="E36">
        <v>905</v>
      </c>
      <c r="F36" t="s">
        <v>48</v>
      </c>
      <c r="G36" s="2" t="s">
        <v>139</v>
      </c>
      <c r="H36">
        <v>9006</v>
      </c>
      <c r="I36">
        <f>VLOOKUP(H36,Sheet1!H:AE,2)</f>
        <v>2</v>
      </c>
      <c r="J36" t="str">
        <f>VLOOKUP(H36,Sheet1!H:T,3,FALSE)</f>
        <v>22"</v>
      </c>
      <c r="K36">
        <f>VLOOKUP($H36,Sheet1!H:$AE,4,FALSE)</f>
        <v>100000</v>
      </c>
      <c r="L36" t="str">
        <f>VLOOKUP($H36,Sheet1!$H:$AE,5,FALSE)</f>
        <v>CLERK</v>
      </c>
      <c r="M36">
        <f>VLOOKUP($H36,Sheet1!$H:$AE,13,FALSE)</f>
        <v>527</v>
      </c>
      <c r="N36">
        <v>2827.3130466472298</v>
      </c>
      <c r="O36">
        <v>1732656.2277937101</v>
      </c>
      <c r="P36">
        <v>16277.549039818899</v>
      </c>
      <c r="Q36">
        <v>17284174.915730301</v>
      </c>
      <c r="R36">
        <v>0.35398000989315298</v>
      </c>
      <c r="S36">
        <v>2.6082266432843702E-3</v>
      </c>
      <c r="T36">
        <v>0.22733956074742701</v>
      </c>
      <c r="U36">
        <v>3.51935767644335E-3</v>
      </c>
      <c r="V36">
        <v>1</v>
      </c>
      <c r="W36">
        <v>0</v>
      </c>
      <c r="X36">
        <v>0.76528292857997304</v>
      </c>
      <c r="Y36">
        <v>0.179624967803689</v>
      </c>
      <c r="Z36">
        <v>0.10209411788841601</v>
      </c>
      <c r="AA36">
        <v>8.5563714117808899E-4</v>
      </c>
      <c r="AB36">
        <v>78</v>
      </c>
    </row>
    <row r="37" spans="1:28" x14ac:dyDescent="0.25">
      <c r="A37">
        <v>1159</v>
      </c>
      <c r="B37" s="1">
        <v>45448</v>
      </c>
      <c r="C37" t="s">
        <v>140</v>
      </c>
      <c r="D37">
        <v>4.71</v>
      </c>
      <c r="E37">
        <v>905</v>
      </c>
      <c r="F37" t="s">
        <v>52</v>
      </c>
      <c r="G37" t="s">
        <v>141</v>
      </c>
      <c r="H37">
        <v>8006</v>
      </c>
      <c r="I37">
        <f>VLOOKUP(H37,Sheet1!H:AE,2)</f>
        <v>2</v>
      </c>
      <c r="J37" t="str">
        <f>VLOOKUP(H37,Sheet1!H:T,3,FALSE)</f>
        <v>22"</v>
      </c>
      <c r="K37">
        <f>VLOOKUP($H37,Sheet1!H:$AE,4,FALSE)</f>
        <v>100000</v>
      </c>
      <c r="L37" t="str">
        <f>VLOOKUP($H37,Sheet1!$H:$AE,5,FALSE)</f>
        <v>Apex</v>
      </c>
      <c r="M37">
        <f>VLOOKUP($H37,Sheet1!$H:$AE,13,FALSE)</f>
        <v>1921</v>
      </c>
      <c r="N37">
        <v>2805.8814612717701</v>
      </c>
      <c r="O37">
        <v>2218086.9324756199</v>
      </c>
      <c r="P37">
        <v>16668.2675985081</v>
      </c>
      <c r="Q37">
        <v>16877565.702316701</v>
      </c>
      <c r="R37">
        <v>0.33358958351818102</v>
      </c>
      <c r="S37">
        <v>3.51351011056068E-3</v>
      </c>
      <c r="T37">
        <v>0.22845216361437301</v>
      </c>
      <c r="U37">
        <v>3.69822647308406E-3</v>
      </c>
      <c r="V37">
        <v>0.99827771398940701</v>
      </c>
      <c r="W37">
        <v>1.7193197414907E-3</v>
      </c>
      <c r="X37">
        <v>0.63116918971149805</v>
      </c>
      <c r="Y37">
        <v>0.23279464367074501</v>
      </c>
      <c r="Z37">
        <v>9.6373351045459299E-2</v>
      </c>
      <c r="AA37">
        <v>9.1612187112057898E-4</v>
      </c>
      <c r="AB37">
        <v>76</v>
      </c>
    </row>
    <row r="38" spans="1:28" x14ac:dyDescent="0.25">
      <c r="A38">
        <v>1160</v>
      </c>
      <c r="B38" s="1">
        <v>45448</v>
      </c>
      <c r="C38" t="s">
        <v>142</v>
      </c>
      <c r="D38">
        <v>4.71</v>
      </c>
      <c r="E38">
        <v>905</v>
      </c>
      <c r="F38" t="s">
        <v>56</v>
      </c>
      <c r="G38" t="s">
        <v>143</v>
      </c>
      <c r="H38">
        <v>7006</v>
      </c>
      <c r="I38">
        <f>VLOOKUP(H38,Sheet1!H:AE,2)</f>
        <v>2</v>
      </c>
      <c r="J38" t="str">
        <f>VLOOKUP(H38,Sheet1!H:T,3,FALSE)</f>
        <v>22"</v>
      </c>
      <c r="K38">
        <f>VLOOKUP($H38,Sheet1!H:$AE,4,FALSE)</f>
        <v>100000</v>
      </c>
      <c r="L38" t="str">
        <f>VLOOKUP($H38,Sheet1!$H:$AE,5,FALSE)</f>
        <v>black bear</v>
      </c>
      <c r="M38">
        <f>VLOOKUP($H38,Sheet1!$H:$AE,13,FALSE)</f>
        <v>2485</v>
      </c>
      <c r="N38">
        <v>2649.9653307856702</v>
      </c>
      <c r="O38">
        <v>1551601.77015853</v>
      </c>
      <c r="P38">
        <v>16676.4536234142</v>
      </c>
      <c r="Q38">
        <v>17848856.695725799</v>
      </c>
      <c r="R38">
        <v>0.347524481657558</v>
      </c>
      <c r="S38">
        <v>3.0445254198936001E-3</v>
      </c>
      <c r="T38">
        <v>0.223201954693412</v>
      </c>
      <c r="U38">
        <v>3.5505936461770501E-3</v>
      </c>
      <c r="V38">
        <v>0.98885185185185198</v>
      </c>
      <c r="W38">
        <v>1.10238669410177E-2</v>
      </c>
      <c r="X38">
        <v>0.51780242028251899</v>
      </c>
      <c r="Y38">
        <v>0.24968307383196101</v>
      </c>
      <c r="Z38">
        <v>9.3056265944980301E-2</v>
      </c>
      <c r="AA38">
        <v>9.3336123640364304E-4</v>
      </c>
      <c r="AB38">
        <v>71</v>
      </c>
    </row>
    <row r="39" spans="1:28" x14ac:dyDescent="0.25">
      <c r="A39">
        <v>1161</v>
      </c>
      <c r="B39" s="1">
        <v>45448</v>
      </c>
      <c r="C39" t="s">
        <v>144</v>
      </c>
      <c r="D39">
        <v>4.71</v>
      </c>
      <c r="E39">
        <v>905</v>
      </c>
      <c r="F39" t="s">
        <v>60</v>
      </c>
      <c r="G39" t="s">
        <v>145</v>
      </c>
      <c r="H39">
        <v>6006</v>
      </c>
      <c r="I39">
        <f>VLOOKUP(H39,Sheet1!H:AE,2)</f>
        <v>2</v>
      </c>
      <c r="J39" t="str">
        <f>VLOOKUP(H39,Sheet1!H:T,3,FALSE)</f>
        <v>22"</v>
      </c>
      <c r="K39">
        <f>VLOOKUP($H39,Sheet1!H:$AE,4,FALSE)</f>
        <v>100000</v>
      </c>
      <c r="L39" t="str">
        <f>VLOOKUP($H39,Sheet1!$H:$AE,5,FALSE)</f>
        <v>Red Rover</v>
      </c>
      <c r="M39">
        <f>VLOOKUP($H39,Sheet1!$H:$AE,13,FALSE)</f>
        <v>1080</v>
      </c>
      <c r="N39">
        <v>2664.5495956899899</v>
      </c>
      <c r="O39">
        <v>1909330.32201996</v>
      </c>
      <c r="P39">
        <v>16232.4257447808</v>
      </c>
      <c r="Q39">
        <v>20057180.985476401</v>
      </c>
      <c r="R39">
        <v>0.35745540286794703</v>
      </c>
      <c r="S39">
        <v>2.8265302444976902E-3</v>
      </c>
      <c r="T39">
        <v>0.22130406185447599</v>
      </c>
      <c r="U39">
        <v>3.9608409409822003E-3</v>
      </c>
      <c r="V39">
        <v>1</v>
      </c>
      <c r="W39">
        <v>0</v>
      </c>
      <c r="X39">
        <v>0.69410931043685498</v>
      </c>
      <c r="Y39">
        <v>0.21232157560175</v>
      </c>
      <c r="Z39">
        <v>9.0332477784697399E-2</v>
      </c>
      <c r="AA39">
        <v>1.02611903384868E-3</v>
      </c>
      <c r="AB39">
        <v>67</v>
      </c>
    </row>
    <row r="40" spans="1:28" x14ac:dyDescent="0.25">
      <c r="A40">
        <v>1162</v>
      </c>
      <c r="B40" s="1">
        <v>45448</v>
      </c>
      <c r="C40" t="s">
        <v>146</v>
      </c>
      <c r="D40">
        <v>4.71</v>
      </c>
      <c r="E40">
        <v>905</v>
      </c>
      <c r="F40" t="s">
        <v>64</v>
      </c>
      <c r="G40" t="s">
        <v>147</v>
      </c>
      <c r="H40">
        <v>5006</v>
      </c>
      <c r="I40">
        <f>VLOOKUP(H40,Sheet1!H:AE,2)</f>
        <v>1</v>
      </c>
      <c r="J40" t="str">
        <f>VLOOKUP(H40,Sheet1!H:T,3,FALSE)</f>
        <v>22"</v>
      </c>
      <c r="K40">
        <f>VLOOKUP($H40,Sheet1!H:$AE,4,FALSE)</f>
        <v>100000</v>
      </c>
      <c r="L40" t="str">
        <f>VLOOKUP($H40,Sheet1!$H:$AE,5,FALSE)</f>
        <v>Merlot</v>
      </c>
      <c r="M40">
        <f>VLOOKUP($H40,Sheet1!$H:$AE,13,FALSE)</f>
        <v>1218</v>
      </c>
      <c r="N40">
        <v>2651.8055511779999</v>
      </c>
      <c r="O40">
        <v>1173299.68421707</v>
      </c>
      <c r="P40">
        <v>16733.821839648601</v>
      </c>
      <c r="Q40">
        <v>14728187.7361506</v>
      </c>
      <c r="R40">
        <v>0.35678272039439501</v>
      </c>
      <c r="S40">
        <v>2.4354349884160198E-3</v>
      </c>
      <c r="T40">
        <v>0.22227156836096301</v>
      </c>
      <c r="U40">
        <v>2.3830292136966698E-3</v>
      </c>
      <c r="V40">
        <v>0.87122460695172299</v>
      </c>
      <c r="W40">
        <v>0.112192291193584</v>
      </c>
      <c r="X40">
        <v>0.29562144553033998</v>
      </c>
      <c r="Y40">
        <v>0.20822940647310001</v>
      </c>
      <c r="Z40">
        <v>8.5872909838574096E-2</v>
      </c>
      <c r="AA40">
        <v>8.7433742098954204E-4</v>
      </c>
      <c r="AB40">
        <v>30</v>
      </c>
    </row>
    <row r="41" spans="1:28" x14ac:dyDescent="0.25">
      <c r="A41">
        <v>1163</v>
      </c>
      <c r="B41" s="1">
        <v>45448</v>
      </c>
      <c r="C41" t="s">
        <v>148</v>
      </c>
      <c r="D41">
        <v>4.71</v>
      </c>
      <c r="E41">
        <v>905</v>
      </c>
      <c r="F41" t="s">
        <v>68</v>
      </c>
      <c r="G41" t="s">
        <v>149</v>
      </c>
      <c r="H41">
        <v>4006</v>
      </c>
      <c r="I41">
        <f>VLOOKUP(H41,Sheet1!H:AE,2)</f>
        <v>1</v>
      </c>
      <c r="J41" t="str">
        <f>VLOOKUP(H41,Sheet1!H:T,3,FALSE)</f>
        <v>22"</v>
      </c>
      <c r="K41">
        <f>VLOOKUP($H41,Sheet1!H:$AE,4,FALSE)</f>
        <v>100000</v>
      </c>
      <c r="L41" t="str">
        <f>VLOOKUP($H41,Sheet1!$H:$AE,5,FALSE)</f>
        <v>Eclipse</v>
      </c>
      <c r="M41">
        <f>VLOOKUP($H41,Sheet1!$H:$AE,13,FALSE)</f>
        <v>2481</v>
      </c>
      <c r="N41">
        <v>2594.58481404145</v>
      </c>
      <c r="O41">
        <v>1218314.7904781401</v>
      </c>
      <c r="P41">
        <v>16764.062886804499</v>
      </c>
      <c r="Q41">
        <v>16678903.5104321</v>
      </c>
      <c r="R41">
        <v>0.36218944152110599</v>
      </c>
      <c r="S41">
        <v>2.5100616655824299E-3</v>
      </c>
      <c r="T41">
        <v>0.23027782598923699</v>
      </c>
      <c r="U41">
        <v>2.54277880468463E-3</v>
      </c>
      <c r="V41">
        <v>1</v>
      </c>
      <c r="W41">
        <v>0</v>
      </c>
      <c r="X41">
        <v>0.56783295295589997</v>
      </c>
      <c r="Y41">
        <v>0.24539869049337401</v>
      </c>
      <c r="Z41">
        <v>9.0307155243878806E-2</v>
      </c>
      <c r="AA41">
        <v>9.5910824056944801E-4</v>
      </c>
      <c r="AB41">
        <v>66</v>
      </c>
    </row>
    <row r="42" spans="1:28" x14ac:dyDescent="0.25">
      <c r="A42">
        <v>1164</v>
      </c>
      <c r="B42" s="1">
        <v>45448</v>
      </c>
      <c r="C42" t="s">
        <v>150</v>
      </c>
      <c r="D42">
        <v>4.71</v>
      </c>
      <c r="E42">
        <v>905</v>
      </c>
      <c r="F42" t="s">
        <v>72</v>
      </c>
      <c r="G42" t="s">
        <v>151</v>
      </c>
      <c r="H42">
        <v>3006</v>
      </c>
      <c r="I42">
        <f>VLOOKUP(H42,Sheet1!H:AE,2)</f>
        <v>1</v>
      </c>
      <c r="J42" t="str">
        <f>VLOOKUP(H42,Sheet1!H:T,3,FALSE)</f>
        <v>22"</v>
      </c>
      <c r="K42">
        <f>VLOOKUP($H42,Sheet1!H:$AE,4,FALSE)</f>
        <v>100000</v>
      </c>
      <c r="L42" t="str">
        <f>VLOOKUP($H42,Sheet1!$H:$AE,5,FALSE)</f>
        <v>Zorro</v>
      </c>
      <c r="M42">
        <f>VLOOKUP($H42,Sheet1!$H:$AE,13,FALSE)</f>
        <v>1680</v>
      </c>
      <c r="N42">
        <v>2668.8447832638899</v>
      </c>
      <c r="O42">
        <v>1880593.0596276899</v>
      </c>
      <c r="P42">
        <v>15797.1912955146</v>
      </c>
      <c r="Q42">
        <v>17407628.1248192</v>
      </c>
      <c r="R42">
        <v>0.36205413708093998</v>
      </c>
      <c r="S42">
        <v>3.1856865445214801E-3</v>
      </c>
      <c r="T42">
        <v>0.23622583560401</v>
      </c>
      <c r="U42">
        <v>4.2344543947057198E-3</v>
      </c>
      <c r="V42">
        <v>0.96546360252587904</v>
      </c>
      <c r="W42">
        <v>3.3343634723630798E-2</v>
      </c>
      <c r="X42">
        <v>0.66721573968417502</v>
      </c>
      <c r="Y42">
        <v>0.22203889640155899</v>
      </c>
      <c r="Z42">
        <v>9.4957034091235501E-2</v>
      </c>
      <c r="AA42">
        <v>8.4252624967331795E-4</v>
      </c>
      <c r="AB42">
        <v>75</v>
      </c>
    </row>
    <row r="43" spans="1:28" x14ac:dyDescent="0.25">
      <c r="A43">
        <v>1165</v>
      </c>
      <c r="B43" s="1">
        <v>45448</v>
      </c>
      <c r="C43" t="s">
        <v>152</v>
      </c>
      <c r="D43">
        <v>4.71</v>
      </c>
      <c r="E43">
        <v>905</v>
      </c>
      <c r="F43" t="s">
        <v>76</v>
      </c>
      <c r="G43" t="s">
        <v>153</v>
      </c>
      <c r="H43">
        <v>2006</v>
      </c>
      <c r="I43">
        <f>VLOOKUP(H43,Sheet1!H:AE,2)</f>
        <v>1</v>
      </c>
      <c r="J43" t="str">
        <f>VLOOKUP(H43,Sheet1!H:T,3,FALSE)</f>
        <v>22"</v>
      </c>
      <c r="K43">
        <f>VLOOKUP($H43,Sheet1!H:$AE,4,FALSE)</f>
        <v>100000</v>
      </c>
      <c r="L43" t="str">
        <f>VLOOKUP($H43,Sheet1!$H:$AE,5,FALSE)</f>
        <v>Windbreaker</v>
      </c>
      <c r="M43">
        <f>VLOOKUP($H43,Sheet1!$H:$AE,13,FALSE)</f>
        <v>1723</v>
      </c>
      <c r="N43">
        <v>2583.4074362257502</v>
      </c>
      <c r="O43">
        <v>1740556.8147206199</v>
      </c>
      <c r="P43">
        <v>15882.3940097875</v>
      </c>
      <c r="Q43">
        <v>14486629.6947369</v>
      </c>
      <c r="R43">
        <v>0.36655855640368301</v>
      </c>
      <c r="S43">
        <v>2.2420786697211698E-3</v>
      </c>
      <c r="T43">
        <v>0.23257015928486899</v>
      </c>
      <c r="U43">
        <v>3.07280041319979E-3</v>
      </c>
      <c r="V43">
        <v>1</v>
      </c>
      <c r="W43">
        <v>0</v>
      </c>
      <c r="X43">
        <v>0.65531679933741305</v>
      </c>
      <c r="Y43">
        <v>0.22587669184304099</v>
      </c>
      <c r="Z43">
        <v>0.10455132394219099</v>
      </c>
      <c r="AA43">
        <v>9.9505154427514996E-4</v>
      </c>
      <c r="AB43">
        <v>59</v>
      </c>
    </row>
    <row r="44" spans="1:28" x14ac:dyDescent="0.25">
      <c r="A44">
        <v>1166</v>
      </c>
      <c r="B44" s="1">
        <v>45448</v>
      </c>
      <c r="C44" t="s">
        <v>154</v>
      </c>
      <c r="D44">
        <v>4.71</v>
      </c>
      <c r="E44">
        <v>905</v>
      </c>
      <c r="F44" t="s">
        <v>79</v>
      </c>
      <c r="G44" t="s">
        <v>155</v>
      </c>
      <c r="H44">
        <v>1006</v>
      </c>
      <c r="I44">
        <f>VLOOKUP(H44,Sheet1!H:AE,2)</f>
        <v>1</v>
      </c>
      <c r="J44" t="str">
        <f>VLOOKUP(H44,Sheet1!H:T,3,FALSE)</f>
        <v>22"</v>
      </c>
      <c r="K44">
        <f>VLOOKUP($H44,Sheet1!H:$AE,4,FALSE)</f>
        <v>100000</v>
      </c>
      <c r="L44" t="str">
        <f>VLOOKUP($H44,Sheet1!$H:$AE,5,FALSE)</f>
        <v>Cayenne</v>
      </c>
      <c r="M44">
        <f>VLOOKUP($H44,Sheet1!$H:$AE,13,FALSE)</f>
        <v>2565</v>
      </c>
      <c r="N44">
        <v>2213.7361790980099</v>
      </c>
      <c r="O44">
        <v>1142922.8655415501</v>
      </c>
      <c r="P44">
        <v>15660.081518716501</v>
      </c>
      <c r="Q44">
        <v>15856584.3279188</v>
      </c>
      <c r="R44">
        <v>0.39157905976732899</v>
      </c>
      <c r="S44">
        <v>3.1892865558791001E-3</v>
      </c>
      <c r="T44">
        <v>0.23944592023990199</v>
      </c>
      <c r="U44">
        <v>4.7722279897580103E-3</v>
      </c>
      <c r="V44">
        <v>0.99907405692698004</v>
      </c>
      <c r="W44">
        <v>9.2508570244539804E-4</v>
      </c>
      <c r="X44">
        <v>0.57268669764873603</v>
      </c>
      <c r="Y44">
        <v>0.244716643984807</v>
      </c>
      <c r="Z44">
        <v>0</v>
      </c>
      <c r="AA44">
        <v>0</v>
      </c>
      <c r="AB44">
        <v>62</v>
      </c>
    </row>
    <row r="45" spans="1:28" x14ac:dyDescent="0.25">
      <c r="A45">
        <v>1167</v>
      </c>
      <c r="B45" s="1">
        <v>45448</v>
      </c>
      <c r="C45" t="s">
        <v>156</v>
      </c>
      <c r="D45">
        <v>4.71</v>
      </c>
      <c r="E45">
        <v>905</v>
      </c>
      <c r="F45" t="s">
        <v>82</v>
      </c>
      <c r="G45" t="s">
        <v>157</v>
      </c>
      <c r="H45">
        <v>1007</v>
      </c>
      <c r="I45">
        <f>VLOOKUP(H45,Sheet1!H:AE,2)</f>
        <v>1</v>
      </c>
      <c r="J45" t="str">
        <f>VLOOKUP(H45,Sheet1!H:T,3,FALSE)</f>
        <v>22"</v>
      </c>
      <c r="K45">
        <f>VLOOKUP($H45,Sheet1!H:$AE,4,FALSE)</f>
        <v>75000</v>
      </c>
      <c r="L45" t="str">
        <f>VLOOKUP($H45,Sheet1!$H:$AE,5,FALSE)</f>
        <v>Red Rover</v>
      </c>
      <c r="M45">
        <f>VLOOKUP($H45,Sheet1!$H:$AE,13,FALSE)</f>
        <v>846</v>
      </c>
      <c r="N45">
        <v>2216.7374003998798</v>
      </c>
      <c r="O45">
        <v>1274537.0275932399</v>
      </c>
      <c r="P45">
        <v>15931.256862386799</v>
      </c>
      <c r="Q45">
        <v>14631296.868674001</v>
      </c>
      <c r="R45">
        <v>0.38602248063290601</v>
      </c>
      <c r="S45">
        <v>2.3599874737051099E-3</v>
      </c>
      <c r="T45">
        <v>0.23344179395745099</v>
      </c>
      <c r="U45">
        <v>3.7067808496954401E-3</v>
      </c>
      <c r="V45">
        <v>1</v>
      </c>
      <c r="W45">
        <v>0</v>
      </c>
      <c r="X45">
        <v>0.56682065817565996</v>
      </c>
      <c r="Y45">
        <v>0.245534999640416</v>
      </c>
      <c r="Z45">
        <v>0</v>
      </c>
      <c r="AA45">
        <v>0</v>
      </c>
      <c r="AB45">
        <v>57</v>
      </c>
    </row>
    <row r="46" spans="1:28" x14ac:dyDescent="0.25">
      <c r="A46">
        <v>1168</v>
      </c>
      <c r="B46" s="1">
        <v>45448</v>
      </c>
      <c r="C46" t="s">
        <v>158</v>
      </c>
      <c r="D46">
        <v>4.71</v>
      </c>
      <c r="E46">
        <v>905</v>
      </c>
      <c r="F46" t="s">
        <v>85</v>
      </c>
      <c r="G46" t="s">
        <v>159</v>
      </c>
      <c r="H46">
        <v>2007</v>
      </c>
      <c r="I46">
        <f>VLOOKUP(H46,Sheet1!H:AE,2)</f>
        <v>1</v>
      </c>
      <c r="J46" t="str">
        <f>VLOOKUP(H46,Sheet1!H:T,3,FALSE)</f>
        <v>22"</v>
      </c>
      <c r="K46">
        <f>VLOOKUP($H46,Sheet1!H:$AE,4,FALSE)</f>
        <v>75000</v>
      </c>
      <c r="L46" t="str">
        <f>VLOOKUP($H46,Sheet1!$H:$AE,5,FALSE)</f>
        <v>Zorro</v>
      </c>
      <c r="M46">
        <f>VLOOKUP($H46,Sheet1!$H:$AE,13,FALSE)</f>
        <v>2007</v>
      </c>
      <c r="N46">
        <v>2335.32454101332</v>
      </c>
      <c r="O46">
        <v>1162827.10998322</v>
      </c>
      <c r="P46">
        <v>16161.8031506679</v>
      </c>
      <c r="Q46">
        <v>14820125.455642199</v>
      </c>
      <c r="R46">
        <v>0.366069349341971</v>
      </c>
      <c r="S46">
        <v>2.2378007958965798E-3</v>
      </c>
      <c r="T46">
        <v>0.229155405986018</v>
      </c>
      <c r="U46">
        <v>2.4327764618039399E-3</v>
      </c>
      <c r="V46">
        <v>0.97494305239180001</v>
      </c>
      <c r="W46">
        <v>2.4429096984771199E-2</v>
      </c>
      <c r="X46">
        <v>0.42139070897445302</v>
      </c>
      <c r="Y46">
        <v>0.243820579364699</v>
      </c>
      <c r="Z46">
        <v>0.10455132394219099</v>
      </c>
      <c r="AA46">
        <v>9.9505154427514996E-4</v>
      </c>
      <c r="AB46">
        <v>53</v>
      </c>
    </row>
    <row r="47" spans="1:28" x14ac:dyDescent="0.25">
      <c r="A47">
        <v>1169</v>
      </c>
      <c r="B47" s="1">
        <v>45448</v>
      </c>
      <c r="C47" t="s">
        <v>160</v>
      </c>
      <c r="D47">
        <v>4.71</v>
      </c>
      <c r="E47">
        <v>905</v>
      </c>
      <c r="F47" t="s">
        <v>88</v>
      </c>
      <c r="G47" t="s">
        <v>161</v>
      </c>
      <c r="H47">
        <v>3007</v>
      </c>
      <c r="I47">
        <f>VLOOKUP(H47,Sheet1!H:AE,2)</f>
        <v>1</v>
      </c>
      <c r="J47" t="str">
        <f>VLOOKUP(H47,Sheet1!H:T,3,FALSE)</f>
        <v>22"</v>
      </c>
      <c r="K47">
        <f>VLOOKUP($H47,Sheet1!H:$AE,4,FALSE)</f>
        <v>75000</v>
      </c>
      <c r="L47" t="str">
        <f>VLOOKUP($H47,Sheet1!$H:$AE,5,FALSE)</f>
        <v>ETNA</v>
      </c>
      <c r="M47">
        <f>VLOOKUP($H47,Sheet1!$H:$AE,13,FALSE)</f>
        <v>882</v>
      </c>
      <c r="N47">
        <v>2461.3017985186402</v>
      </c>
      <c r="O47">
        <v>1273372.92561255</v>
      </c>
      <c r="P47">
        <v>15929.6510252017</v>
      </c>
      <c r="Q47">
        <v>16134043.8316739</v>
      </c>
      <c r="R47">
        <v>0.36510511116550998</v>
      </c>
      <c r="S47">
        <v>2.7244365347939802E-3</v>
      </c>
      <c r="T47">
        <v>0.23520506737479799</v>
      </c>
      <c r="U47">
        <v>3.39223339805677E-3</v>
      </c>
      <c r="V47">
        <v>0.99872215123062402</v>
      </c>
      <c r="W47">
        <v>1.27621587190005E-3</v>
      </c>
      <c r="X47">
        <v>0.53380082086393099</v>
      </c>
      <c r="Y47">
        <v>0.248857504508469</v>
      </c>
      <c r="Z47">
        <v>9.4957034091235501E-2</v>
      </c>
      <c r="AA47">
        <v>8.4252624967331795E-4</v>
      </c>
      <c r="AB47">
        <v>61</v>
      </c>
    </row>
    <row r="48" spans="1:28" x14ac:dyDescent="0.25">
      <c r="A48">
        <v>1170</v>
      </c>
      <c r="B48" s="1">
        <v>45448</v>
      </c>
      <c r="C48" t="s">
        <v>162</v>
      </c>
      <c r="D48">
        <v>4.71</v>
      </c>
      <c r="E48">
        <v>905</v>
      </c>
      <c r="F48" t="s">
        <v>91</v>
      </c>
      <c r="G48" t="s">
        <v>163</v>
      </c>
      <c r="H48">
        <v>4007</v>
      </c>
      <c r="I48">
        <f>VLOOKUP(H48,Sheet1!H:AE,2)</f>
        <v>1</v>
      </c>
      <c r="J48" t="str">
        <f>VLOOKUP(H48,Sheet1!H:T,3,FALSE)</f>
        <v>22"</v>
      </c>
      <c r="K48">
        <f>VLOOKUP($H48,Sheet1!H:$AE,4,FALSE)</f>
        <v>75000</v>
      </c>
      <c r="L48" t="str">
        <f>VLOOKUP($H48,Sheet1!$H:$AE,5,FALSE)</f>
        <v>Apex</v>
      </c>
      <c r="M48">
        <f>VLOOKUP($H48,Sheet1!$H:$AE,13,FALSE)</f>
        <v>2140</v>
      </c>
      <c r="N48">
        <v>2762.6340221416799</v>
      </c>
      <c r="O48">
        <v>1930144.5050858799</v>
      </c>
      <c r="P48">
        <v>16998.6927313011</v>
      </c>
      <c r="Q48">
        <v>17094582.686925799</v>
      </c>
      <c r="R48">
        <v>0.36085705268263202</v>
      </c>
      <c r="S48">
        <v>2.3373381093374601E-3</v>
      </c>
      <c r="T48">
        <v>0.229993091317205</v>
      </c>
      <c r="U48">
        <v>2.7953395963775801E-3</v>
      </c>
      <c r="V48">
        <v>0.96390874412058802</v>
      </c>
      <c r="W48">
        <v>3.4788677128453502E-2</v>
      </c>
      <c r="X48">
        <v>0.44356100344173799</v>
      </c>
      <c r="Y48">
        <v>0.246814639667328</v>
      </c>
      <c r="Z48">
        <v>9.0307155243878806E-2</v>
      </c>
      <c r="AA48">
        <v>9.5910824056944801E-4</v>
      </c>
      <c r="AB48">
        <v>45</v>
      </c>
    </row>
    <row r="49" spans="1:28" x14ac:dyDescent="0.25">
      <c r="A49">
        <v>1171</v>
      </c>
      <c r="B49" s="1">
        <v>45448</v>
      </c>
      <c r="C49" t="s">
        <v>164</v>
      </c>
      <c r="D49">
        <v>4.71</v>
      </c>
      <c r="E49">
        <v>905</v>
      </c>
      <c r="F49" t="s">
        <v>94</v>
      </c>
      <c r="G49" t="s">
        <v>165</v>
      </c>
      <c r="H49">
        <v>5007</v>
      </c>
      <c r="I49">
        <f>VLOOKUP(H49,Sheet1!H:AE,2)</f>
        <v>2</v>
      </c>
      <c r="J49" t="str">
        <f>VLOOKUP(H49,Sheet1!H:T,3,FALSE)</f>
        <v>22"</v>
      </c>
      <c r="K49">
        <f>VLOOKUP($H49,Sheet1!H:$AE,4,FALSE)</f>
        <v>75000</v>
      </c>
      <c r="L49" t="str">
        <f>VLOOKUP($H49,Sheet1!$H:$AE,5,FALSE)</f>
        <v>Red Dawn</v>
      </c>
      <c r="M49">
        <f>VLOOKUP($H49,Sheet1!$H:$AE,13,FALSE)</f>
        <v>486</v>
      </c>
      <c r="N49">
        <v>2718.76955883657</v>
      </c>
      <c r="O49">
        <v>1684463.83437509</v>
      </c>
      <c r="P49">
        <v>16772.1296815895</v>
      </c>
      <c r="Q49">
        <v>15078937.330860499</v>
      </c>
      <c r="R49">
        <v>0.35882362820619002</v>
      </c>
      <c r="S49">
        <v>2.3752409133590102E-3</v>
      </c>
      <c r="T49">
        <v>0.225525127033055</v>
      </c>
      <c r="U49">
        <v>3.0475748238117301E-3</v>
      </c>
      <c r="V49">
        <v>0.99866669135756703</v>
      </c>
      <c r="W49">
        <v>1.33153093049537E-3</v>
      </c>
      <c r="X49">
        <v>0.49740946947039</v>
      </c>
      <c r="Y49">
        <v>0.249993289151662</v>
      </c>
      <c r="Z49">
        <v>8.5872909838574096E-2</v>
      </c>
      <c r="AA49">
        <v>8.7433742098954204E-4</v>
      </c>
      <c r="AB49">
        <v>45</v>
      </c>
    </row>
    <row r="50" spans="1:28" x14ac:dyDescent="0.25">
      <c r="A50">
        <v>1172</v>
      </c>
      <c r="B50" s="1">
        <v>45448</v>
      </c>
      <c r="C50" t="s">
        <v>166</v>
      </c>
      <c r="D50">
        <v>4.71</v>
      </c>
      <c r="E50">
        <v>905</v>
      </c>
      <c r="F50" t="s">
        <v>97</v>
      </c>
      <c r="G50" t="s">
        <v>167</v>
      </c>
      <c r="H50">
        <v>6007</v>
      </c>
      <c r="I50">
        <f>VLOOKUP(H50,Sheet1!H:AE,2)</f>
        <v>2</v>
      </c>
      <c r="J50" t="str">
        <f>VLOOKUP(H50,Sheet1!H:T,3,FALSE)</f>
        <v>22"</v>
      </c>
      <c r="K50">
        <f>VLOOKUP($H50,Sheet1!H:$AE,4,FALSE)</f>
        <v>75000</v>
      </c>
      <c r="L50" t="str">
        <f>VLOOKUP($H50,Sheet1!$H:$AE,5,FALSE)</f>
        <v>T9905</v>
      </c>
      <c r="M50">
        <f>VLOOKUP($H50,Sheet1!$H:$AE,13,FALSE)</f>
        <v>2005</v>
      </c>
      <c r="N50">
        <v>2526.7340562794898</v>
      </c>
      <c r="O50">
        <v>1127402.3100222901</v>
      </c>
      <c r="P50">
        <v>16823.0154885511</v>
      </c>
      <c r="Q50">
        <v>14917112.592116401</v>
      </c>
      <c r="R50">
        <v>0.34625028561523702</v>
      </c>
      <c r="S50">
        <v>2.3280321114958302E-3</v>
      </c>
      <c r="T50">
        <v>0.20934598571863799</v>
      </c>
      <c r="U50">
        <v>1.9434568633929399E-3</v>
      </c>
      <c r="V50">
        <v>0.82524074074074105</v>
      </c>
      <c r="W50">
        <v>0.14421846056254101</v>
      </c>
      <c r="X50">
        <v>0.40522707403487701</v>
      </c>
      <c r="Y50">
        <v>0.24101809250394199</v>
      </c>
      <c r="Z50">
        <v>9.0332477784697399E-2</v>
      </c>
      <c r="AA50">
        <v>1.02611903384868E-3</v>
      </c>
      <c r="AB50">
        <v>29</v>
      </c>
    </row>
    <row r="51" spans="1:28" x14ac:dyDescent="0.25">
      <c r="A51">
        <v>1173</v>
      </c>
      <c r="B51" s="1">
        <v>45448</v>
      </c>
      <c r="C51" t="s">
        <v>168</v>
      </c>
      <c r="D51">
        <v>4.71</v>
      </c>
      <c r="E51">
        <v>905</v>
      </c>
      <c r="F51" t="s">
        <v>100</v>
      </c>
      <c r="G51" t="s">
        <v>169</v>
      </c>
      <c r="H51">
        <v>7007</v>
      </c>
      <c r="I51">
        <f>VLOOKUP(H51,Sheet1!H:AE,2)</f>
        <v>2</v>
      </c>
      <c r="J51" t="str">
        <f>VLOOKUP(H51,Sheet1!H:T,3,FALSE)</f>
        <v>22"</v>
      </c>
      <c r="K51">
        <f>VLOOKUP($H51,Sheet1!H:$AE,4,FALSE)</f>
        <v>75000</v>
      </c>
      <c r="L51" t="str">
        <f>VLOOKUP($H51,Sheet1!$H:$AE,5,FALSE)</f>
        <v>Windbreaker</v>
      </c>
      <c r="M51">
        <f>VLOOKUP($H51,Sheet1!$H:$AE,13,FALSE)</f>
        <v>2037</v>
      </c>
      <c r="N51">
        <v>2748.5476903378299</v>
      </c>
      <c r="O51">
        <v>1781263.64063414</v>
      </c>
      <c r="P51">
        <v>16432.6447600293</v>
      </c>
      <c r="Q51">
        <v>14101836.996407799</v>
      </c>
      <c r="R51">
        <v>0.33733079615277001</v>
      </c>
      <c r="S51">
        <v>2.37506748815026E-3</v>
      </c>
      <c r="T51">
        <v>0.22132912988533601</v>
      </c>
      <c r="U51">
        <v>3.2499989633269998E-3</v>
      </c>
      <c r="V51">
        <v>0.99031463545621201</v>
      </c>
      <c r="W51">
        <v>9.5915582574498705E-3</v>
      </c>
      <c r="X51">
        <v>0.53426649365469303</v>
      </c>
      <c r="Y51">
        <v>0.24882580741299201</v>
      </c>
      <c r="Z51">
        <v>9.3056265944980301E-2</v>
      </c>
      <c r="AA51">
        <v>9.3336123640364304E-4</v>
      </c>
      <c r="AB51">
        <v>47</v>
      </c>
    </row>
    <row r="52" spans="1:28" x14ac:dyDescent="0.25">
      <c r="A52">
        <v>1174</v>
      </c>
      <c r="B52" s="1">
        <v>45448</v>
      </c>
      <c r="C52" t="s">
        <v>170</v>
      </c>
      <c r="D52">
        <v>4.71</v>
      </c>
      <c r="E52">
        <v>905</v>
      </c>
      <c r="F52" t="s">
        <v>103</v>
      </c>
      <c r="G52" t="s">
        <v>171</v>
      </c>
      <c r="H52">
        <v>8007</v>
      </c>
      <c r="I52">
        <f>VLOOKUP(H52,Sheet1!H:AE,2)</f>
        <v>2</v>
      </c>
      <c r="J52" t="str">
        <f>VLOOKUP(H52,Sheet1!H:T,3,FALSE)</f>
        <v>22"</v>
      </c>
      <c r="K52">
        <f>VLOOKUP($H52,Sheet1!H:$AE,4,FALSE)</f>
        <v>75000</v>
      </c>
      <c r="L52" t="str">
        <f>VLOOKUP($H52,Sheet1!$H:$AE,5,FALSE)</f>
        <v>Nautica</v>
      </c>
      <c r="M52">
        <f>VLOOKUP($H52,Sheet1!$H:$AE,13,FALSE)</f>
        <v>2316</v>
      </c>
      <c r="N52">
        <v>2842.1904518010001</v>
      </c>
      <c r="O52">
        <v>2037683.4060045399</v>
      </c>
      <c r="P52">
        <v>17066.6023843906</v>
      </c>
      <c r="Q52">
        <v>16197114.2922362</v>
      </c>
      <c r="R52">
        <v>0.32159400039788999</v>
      </c>
      <c r="S52">
        <v>3.0617173590914799E-3</v>
      </c>
      <c r="T52">
        <v>0.226590956391756</v>
      </c>
      <c r="U52">
        <v>3.39851058668381E-3</v>
      </c>
      <c r="V52">
        <v>0.992647875847254</v>
      </c>
      <c r="W52">
        <v>7.2980704231995399E-3</v>
      </c>
      <c r="X52">
        <v>0.60976036221747698</v>
      </c>
      <c r="Y52">
        <v>0.23795266288564401</v>
      </c>
      <c r="Z52">
        <v>9.6373351045459299E-2</v>
      </c>
      <c r="AA52">
        <v>9.1612187112057898E-4</v>
      </c>
      <c r="AB52">
        <v>70</v>
      </c>
    </row>
    <row r="53" spans="1:28" x14ac:dyDescent="0.25">
      <c r="A53">
        <v>1175</v>
      </c>
      <c r="B53" s="1">
        <v>45448</v>
      </c>
      <c r="C53" t="s">
        <v>172</v>
      </c>
      <c r="D53">
        <v>4.71</v>
      </c>
      <c r="E53">
        <v>905</v>
      </c>
      <c r="F53" t="s">
        <v>106</v>
      </c>
      <c r="G53" t="s">
        <v>173</v>
      </c>
      <c r="H53">
        <v>9007</v>
      </c>
      <c r="I53">
        <f>VLOOKUP(H53,Sheet1!H:AE,2)</f>
        <v>2</v>
      </c>
      <c r="J53" t="str">
        <f>VLOOKUP(H53,Sheet1!H:T,3,FALSE)</f>
        <v>22"</v>
      </c>
      <c r="K53">
        <f>VLOOKUP($H53,Sheet1!H:$AE,4,FALSE)</f>
        <v>75000</v>
      </c>
      <c r="L53" t="str">
        <f>VLOOKUP($H53,Sheet1!$H:$AE,5,FALSE)</f>
        <v>Merlot</v>
      </c>
      <c r="M53">
        <f>VLOOKUP($H53,Sheet1!$H:$AE,13,FALSE)</f>
        <v>1482</v>
      </c>
      <c r="N53">
        <v>2673.6143170916698</v>
      </c>
      <c r="O53">
        <v>1063243.4891649501</v>
      </c>
      <c r="P53">
        <v>16911.406371455902</v>
      </c>
      <c r="Q53">
        <v>12103023.713466899</v>
      </c>
      <c r="R53">
        <v>0.34218085359897099</v>
      </c>
      <c r="S53">
        <v>2.0437678241728499E-3</v>
      </c>
      <c r="T53">
        <v>0.21376703858139201</v>
      </c>
      <c r="U53">
        <v>1.9055658351735099E-3</v>
      </c>
      <c r="V53">
        <v>0.95614896020444096</v>
      </c>
      <c r="W53">
        <v>4.1928126104429503E-2</v>
      </c>
      <c r="X53">
        <v>0.452499930979266</v>
      </c>
      <c r="Y53">
        <v>0.24774374344320299</v>
      </c>
      <c r="Z53">
        <v>0.10209411788841601</v>
      </c>
      <c r="AA53">
        <v>8.5563714117808899E-4</v>
      </c>
      <c r="AB53">
        <v>35</v>
      </c>
    </row>
    <row r="54" spans="1:28" x14ac:dyDescent="0.25">
      <c r="A54">
        <v>1176</v>
      </c>
      <c r="B54" s="1">
        <v>45448</v>
      </c>
      <c r="C54" t="s">
        <v>174</v>
      </c>
      <c r="D54">
        <v>4.71</v>
      </c>
      <c r="E54">
        <v>905</v>
      </c>
      <c r="F54" t="s">
        <v>109</v>
      </c>
      <c r="G54" t="s">
        <v>175</v>
      </c>
      <c r="H54">
        <v>10007</v>
      </c>
      <c r="I54">
        <f>VLOOKUP(H54,Sheet1!H:AE,2)</f>
        <v>3</v>
      </c>
      <c r="J54" t="str">
        <f>VLOOKUP(H54,Sheet1!H:T,3,FALSE)</f>
        <v>22"</v>
      </c>
      <c r="K54">
        <f>VLOOKUP($H54,Sheet1!H:$AE,4,FALSE)</f>
        <v>75000</v>
      </c>
      <c r="L54" t="str">
        <f>VLOOKUP($H54,Sheet1!$H:$AE,5,FALSE)</f>
        <v>black bear</v>
      </c>
      <c r="M54">
        <f>VLOOKUP($H54,Sheet1!$H:$AE,13,FALSE)</f>
        <v>1906</v>
      </c>
      <c r="N54">
        <v>2356.1359992120601</v>
      </c>
      <c r="O54">
        <v>1247032.08308995</v>
      </c>
      <c r="P54">
        <v>16213.4361551406</v>
      </c>
      <c r="Q54">
        <v>16847330.760435399</v>
      </c>
      <c r="R54">
        <v>0.40147416106875899</v>
      </c>
      <c r="S54">
        <v>2.7053395798829899E-3</v>
      </c>
      <c r="T54">
        <v>0.24221269785351701</v>
      </c>
      <c r="U54">
        <v>2.9813719463535802E-3</v>
      </c>
      <c r="V54">
        <v>0.98829607955702903</v>
      </c>
      <c r="W54">
        <v>1.1566938689219101E-2</v>
      </c>
      <c r="X54">
        <v>0.53742304188178103</v>
      </c>
      <c r="Y54">
        <v>0.248599515935957</v>
      </c>
      <c r="Z54">
        <v>7.7678776515304901E-2</v>
      </c>
      <c r="AA54">
        <v>1.12397102936487E-3</v>
      </c>
      <c r="AB54">
        <v>48</v>
      </c>
    </row>
    <row r="55" spans="1:28" x14ac:dyDescent="0.25">
      <c r="A55">
        <v>1178</v>
      </c>
      <c r="B55" s="1">
        <v>45448</v>
      </c>
      <c r="C55" t="s">
        <v>176</v>
      </c>
      <c r="D55">
        <v>4.71</v>
      </c>
      <c r="E55">
        <v>905</v>
      </c>
      <c r="F55" t="s">
        <v>115</v>
      </c>
      <c r="G55" t="s">
        <v>177</v>
      </c>
      <c r="H55">
        <v>12007</v>
      </c>
      <c r="I55">
        <f>VLOOKUP(H55,Sheet1!H:AE,2)</f>
        <v>3</v>
      </c>
      <c r="J55" t="str">
        <f>VLOOKUP(H55,Sheet1!H:T,3,FALSE)</f>
        <v>22"</v>
      </c>
      <c r="K55">
        <f>VLOOKUP($H55,Sheet1!H:$AE,4,FALSE)</f>
        <v>75000</v>
      </c>
      <c r="L55" t="str">
        <f>VLOOKUP($H55,Sheet1!$H:$AE,5,FALSE)</f>
        <v>CLERK</v>
      </c>
      <c r="M55">
        <f>VLOOKUP($H55,Sheet1!$H:$AE,13,FALSE)</f>
        <v>727</v>
      </c>
      <c r="N55">
        <v>2750.597165314</v>
      </c>
      <c r="O55">
        <v>1603176.4124129701</v>
      </c>
      <c r="P55">
        <v>16545.776624149799</v>
      </c>
      <c r="Q55">
        <v>16641765.2013073</v>
      </c>
      <c r="R55">
        <v>0.32912877071185798</v>
      </c>
      <c r="S55">
        <v>2.6441219508827199E-3</v>
      </c>
      <c r="T55">
        <v>0.21905421299219299</v>
      </c>
      <c r="U55">
        <v>3.1760780105859602E-3</v>
      </c>
      <c r="V55">
        <v>0.99472222222222195</v>
      </c>
      <c r="W55">
        <v>5.24992283950619E-3</v>
      </c>
      <c r="X55">
        <v>0.58583181491910996</v>
      </c>
      <c r="Y55">
        <v>0.24263289954723999</v>
      </c>
      <c r="Z55">
        <v>0.116475845461096</v>
      </c>
      <c r="AA55">
        <v>8.8454664812347703E-4</v>
      </c>
      <c r="AB55">
        <v>56</v>
      </c>
    </row>
    <row r="56" spans="1:28" x14ac:dyDescent="0.25">
      <c r="A56">
        <v>1179</v>
      </c>
      <c r="B56" s="1">
        <v>45448</v>
      </c>
      <c r="C56" t="s">
        <v>178</v>
      </c>
      <c r="D56">
        <v>4.71</v>
      </c>
      <c r="E56">
        <v>905</v>
      </c>
      <c r="F56" t="s">
        <v>118</v>
      </c>
      <c r="G56" t="s">
        <v>179</v>
      </c>
      <c r="H56">
        <v>13007</v>
      </c>
      <c r="I56">
        <f>VLOOKUP(H56,Sheet1!H:AE,2)</f>
        <v>3</v>
      </c>
      <c r="J56" t="str">
        <f>VLOOKUP(H56,Sheet1!H:T,3,FALSE)</f>
        <v>22"</v>
      </c>
      <c r="K56">
        <f>VLOOKUP($H56,Sheet1!H:$AE,4,FALSE)</f>
        <v>75000</v>
      </c>
      <c r="L56" t="str">
        <f>VLOOKUP($H56,Sheet1!$H:$AE,5,FALSE)</f>
        <v>Ronnies red</v>
      </c>
      <c r="M56">
        <f>VLOOKUP($H56,Sheet1!$H:$AE,13,FALSE)</f>
        <v>932</v>
      </c>
      <c r="N56">
        <v>2494.6613676880502</v>
      </c>
      <c r="O56">
        <v>1653242.44850718</v>
      </c>
      <c r="P56">
        <v>16425.460581338099</v>
      </c>
      <c r="Q56">
        <v>15414335.6039444</v>
      </c>
      <c r="R56">
        <v>0.34982337916767597</v>
      </c>
      <c r="S56">
        <v>2.34348810233492E-3</v>
      </c>
      <c r="T56">
        <v>0.22337833778239199</v>
      </c>
      <c r="U56">
        <v>2.50492620301021E-3</v>
      </c>
      <c r="V56">
        <v>0.82509583155867505</v>
      </c>
      <c r="W56">
        <v>0.14431270030336399</v>
      </c>
      <c r="X56">
        <v>0.48900320241469403</v>
      </c>
      <c r="Y56">
        <v>0.249879070442871</v>
      </c>
      <c r="Z56">
        <v>0.101541433721954</v>
      </c>
      <c r="AA56">
        <v>8.1137284474565199E-4</v>
      </c>
      <c r="AB56">
        <v>33</v>
      </c>
    </row>
    <row r="57" spans="1:28" x14ac:dyDescent="0.25">
      <c r="A57">
        <v>1180</v>
      </c>
      <c r="B57" s="1">
        <v>45448</v>
      </c>
      <c r="C57" t="s">
        <v>180</v>
      </c>
      <c r="D57">
        <v>4.71</v>
      </c>
      <c r="E57">
        <v>905</v>
      </c>
      <c r="F57" t="s">
        <v>121</v>
      </c>
      <c r="G57" t="s">
        <v>181</v>
      </c>
      <c r="H57">
        <v>14007</v>
      </c>
      <c r="I57">
        <f>VLOOKUP(H57,Sheet1!H:AE,2)</f>
        <v>3</v>
      </c>
      <c r="J57" t="str">
        <f>VLOOKUP(H57,Sheet1!H:T,3,FALSE)</f>
        <v>22"</v>
      </c>
      <c r="K57">
        <f>VLOOKUP($H57,Sheet1!H:$AE,4,FALSE)</f>
        <v>75000</v>
      </c>
      <c r="L57" t="str">
        <f>VLOOKUP($H57,Sheet1!$H:$AE,5,FALSE)</f>
        <v>Redhawk</v>
      </c>
      <c r="M57">
        <f>VLOOKUP($H57,Sheet1!$H:$AE,13,FALSE)</f>
        <v>322</v>
      </c>
      <c r="N57">
        <v>2387.22737569931</v>
      </c>
      <c r="O57">
        <v>1055970.8722326099</v>
      </c>
      <c r="P57">
        <v>15971.4110522061</v>
      </c>
      <c r="Q57">
        <v>13851051.1312481</v>
      </c>
      <c r="R57">
        <v>0.36477751602570602</v>
      </c>
      <c r="S57">
        <v>2.3588160331855399E-3</v>
      </c>
      <c r="T57">
        <v>0.23781347997712901</v>
      </c>
      <c r="U57">
        <v>2.5411429084351901E-3</v>
      </c>
      <c r="V57">
        <v>0.70926464324734695</v>
      </c>
      <c r="W57">
        <v>0.206208309086404</v>
      </c>
      <c r="X57">
        <v>0.63137745711551196</v>
      </c>
      <c r="Y57">
        <v>0.23273996376143199</v>
      </c>
      <c r="Z57">
        <v>0.100795516765079</v>
      </c>
      <c r="AA57">
        <v>1.1483676572164199E-3</v>
      </c>
      <c r="AB57">
        <v>35</v>
      </c>
    </row>
    <row r="58" spans="1:28" x14ac:dyDescent="0.25">
      <c r="A58">
        <v>1181</v>
      </c>
      <c r="B58" s="1">
        <v>45448</v>
      </c>
      <c r="C58" t="s">
        <v>182</v>
      </c>
      <c r="D58">
        <v>4.71</v>
      </c>
      <c r="E58">
        <v>905</v>
      </c>
      <c r="F58" t="s">
        <v>124</v>
      </c>
      <c r="G58" t="s">
        <v>183</v>
      </c>
      <c r="H58">
        <v>15007</v>
      </c>
      <c r="I58">
        <f>VLOOKUP(H58,Sheet1!H:AE,2)</f>
        <v>3</v>
      </c>
      <c r="J58" t="str">
        <f>VLOOKUP(H58,Sheet1!H:T,3,FALSE)</f>
        <v>22"</v>
      </c>
      <c r="K58">
        <f>VLOOKUP($H58,Sheet1!H:$AE,4,FALSE)</f>
        <v>75000</v>
      </c>
      <c r="L58" t="str">
        <f>VLOOKUP($H58,Sheet1!$H:$AE,5,FALSE)</f>
        <v>Cayenne</v>
      </c>
      <c r="M58">
        <f>VLOOKUP($H58,Sheet1!$H:$AE,13,FALSE)</f>
        <v>2032</v>
      </c>
      <c r="N58">
        <v>2301.3512917237099</v>
      </c>
      <c r="O58">
        <v>984438.26726298395</v>
      </c>
      <c r="P58">
        <v>15773.065166856</v>
      </c>
      <c r="Q58">
        <v>16690309.154510399</v>
      </c>
      <c r="R58">
        <v>0.36603812848795098</v>
      </c>
      <c r="S58">
        <v>2.4000532051498599E-3</v>
      </c>
      <c r="T58">
        <v>0.23411300647592101</v>
      </c>
      <c r="U58">
        <v>2.4913176199549002E-3</v>
      </c>
      <c r="V58">
        <v>0.99896296296296305</v>
      </c>
      <c r="W58">
        <v>1.03596159122067E-3</v>
      </c>
      <c r="X58">
        <v>0.50020245150366205</v>
      </c>
      <c r="Y58">
        <v>0.24999995901362301</v>
      </c>
      <c r="Z58">
        <v>8.4192931908469798E-2</v>
      </c>
      <c r="AA58">
        <v>2.9695728572760498E-3</v>
      </c>
      <c r="AB58">
        <v>47</v>
      </c>
    </row>
    <row r="59" spans="1:28" x14ac:dyDescent="0.25">
      <c r="A59">
        <v>1182</v>
      </c>
      <c r="B59" s="1">
        <v>45448</v>
      </c>
      <c r="C59" t="s">
        <v>184</v>
      </c>
      <c r="D59">
        <v>4.71</v>
      </c>
      <c r="E59">
        <v>905</v>
      </c>
      <c r="F59" t="s">
        <v>24</v>
      </c>
      <c r="G59">
        <v>5009314965442930</v>
      </c>
      <c r="H59">
        <v>15008</v>
      </c>
      <c r="I59">
        <f>VLOOKUP(H59,Sheet1!H:AE,2)</f>
        <v>3</v>
      </c>
      <c r="J59" t="str">
        <f>VLOOKUP(H59,Sheet1!H:T,3,FALSE)</f>
        <v>22"</v>
      </c>
      <c r="K59">
        <f>VLOOKUP($H59,Sheet1!H:$AE,4,FALSE)</f>
        <v>150000</v>
      </c>
      <c r="L59" t="str">
        <f>VLOOKUP($H59,Sheet1!$H:$AE,5,FALSE)</f>
        <v>Windbreaker</v>
      </c>
      <c r="M59">
        <f>VLOOKUP($H59,Sheet1!$H:$AE,13,FALSE)</f>
        <v>1502</v>
      </c>
      <c r="N59">
        <v>2500.24918003723</v>
      </c>
      <c r="O59">
        <v>2216482.6743589798</v>
      </c>
      <c r="P59">
        <v>16005.3206915132</v>
      </c>
      <c r="Q59">
        <v>21312647.235375501</v>
      </c>
      <c r="R59">
        <v>0.38268686301694999</v>
      </c>
      <c r="S59">
        <v>2.7186556002368099E-3</v>
      </c>
      <c r="T59">
        <v>0.25268511753810902</v>
      </c>
      <c r="U59">
        <v>3.8441619508672998E-3</v>
      </c>
      <c r="V59">
        <v>0.99992592866930896</v>
      </c>
      <c r="W59" s="2">
        <v>7.4065844129269403E-5</v>
      </c>
      <c r="X59">
        <v>0.60215894868585695</v>
      </c>
      <c r="Y59">
        <v>0.239563549203584</v>
      </c>
      <c r="Z59">
        <v>8.4192931908469798E-2</v>
      </c>
      <c r="AA59">
        <v>2.9695728572760498E-3</v>
      </c>
      <c r="AB59">
        <v>71</v>
      </c>
    </row>
    <row r="60" spans="1:28" x14ac:dyDescent="0.25">
      <c r="A60">
        <v>1184</v>
      </c>
      <c r="B60" s="1">
        <v>45448</v>
      </c>
      <c r="C60" t="s">
        <v>185</v>
      </c>
      <c r="D60">
        <v>4.71</v>
      </c>
      <c r="E60">
        <v>905</v>
      </c>
      <c r="F60" t="s">
        <v>32</v>
      </c>
      <c r="G60" t="s">
        <v>186</v>
      </c>
      <c r="H60">
        <v>13008</v>
      </c>
      <c r="I60">
        <f>VLOOKUP(H60,Sheet1!H:AE,2)</f>
        <v>3</v>
      </c>
      <c r="J60" t="str">
        <f>VLOOKUP(H60,Sheet1!H:T,3,FALSE)</f>
        <v>22"</v>
      </c>
      <c r="K60">
        <f>VLOOKUP($H60,Sheet1!H:$AE,4,FALSE)</f>
        <v>150000</v>
      </c>
      <c r="L60" t="str">
        <f>VLOOKUP($H60,Sheet1!$H:$AE,5,FALSE)</f>
        <v>Cayenne</v>
      </c>
      <c r="M60">
        <f>VLOOKUP($H60,Sheet1!$H:$AE,13,FALSE)</f>
        <v>2029</v>
      </c>
      <c r="N60">
        <v>2590.6995272333302</v>
      </c>
      <c r="O60">
        <v>1216633.02068824</v>
      </c>
      <c r="P60">
        <v>16280.354928425701</v>
      </c>
      <c r="Q60">
        <v>17463172.752535101</v>
      </c>
      <c r="R60">
        <v>0.36160577448488701</v>
      </c>
      <c r="S60">
        <v>3.1768467850624899E-3</v>
      </c>
      <c r="T60">
        <v>0.23414287416260399</v>
      </c>
      <c r="U60">
        <v>4.2061687408962599E-3</v>
      </c>
      <c r="V60">
        <v>1</v>
      </c>
      <c r="W60">
        <v>0</v>
      </c>
      <c r="X60">
        <v>0.45128101303099399</v>
      </c>
      <c r="Y60">
        <v>0.247626460308977</v>
      </c>
      <c r="Z60">
        <v>0.101541433721954</v>
      </c>
      <c r="AA60">
        <v>8.1137284474565199E-4</v>
      </c>
      <c r="AB60">
        <v>92</v>
      </c>
    </row>
    <row r="61" spans="1:28" x14ac:dyDescent="0.25">
      <c r="A61">
        <v>1185</v>
      </c>
      <c r="B61" s="1">
        <v>45448</v>
      </c>
      <c r="C61" t="s">
        <v>187</v>
      </c>
      <c r="D61">
        <v>4.71</v>
      </c>
      <c r="E61">
        <v>905</v>
      </c>
      <c r="F61" t="s">
        <v>36</v>
      </c>
      <c r="G61" t="s">
        <v>188</v>
      </c>
      <c r="H61">
        <v>12008</v>
      </c>
      <c r="I61">
        <f>VLOOKUP(H61,Sheet1!H:AE,2)</f>
        <v>3</v>
      </c>
      <c r="J61" t="str">
        <f>VLOOKUP(H61,Sheet1!H:T,3,FALSE)</f>
        <v>22"</v>
      </c>
      <c r="K61">
        <f>VLOOKUP($H61,Sheet1!H:$AE,4,FALSE)</f>
        <v>150000</v>
      </c>
      <c r="L61" t="str">
        <f>VLOOKUP($H61,Sheet1!$H:$AE,5,FALSE)</f>
        <v>ETNA</v>
      </c>
      <c r="M61">
        <f>VLOOKUP($H61,Sheet1!$H:$AE,13,FALSE)</f>
        <v>218</v>
      </c>
      <c r="N61">
        <v>2627.6233883914902</v>
      </c>
      <c r="O61">
        <v>1846395.2264525499</v>
      </c>
      <c r="P61">
        <v>16646.0712736565</v>
      </c>
      <c r="Q61">
        <v>16918246.633882601</v>
      </c>
      <c r="R61">
        <v>0.34245003519233602</v>
      </c>
      <c r="S61">
        <v>3.4181251384136401E-3</v>
      </c>
      <c r="T61">
        <v>0.21999205038050801</v>
      </c>
      <c r="U61">
        <v>4.6435246345551198E-3</v>
      </c>
      <c r="V61">
        <v>0.71509786855798996</v>
      </c>
      <c r="W61">
        <v>0.20373290694197099</v>
      </c>
      <c r="X61">
        <v>0.216513440637567</v>
      </c>
      <c r="Y61">
        <v>0.16963537066141099</v>
      </c>
      <c r="Z61">
        <v>0.116475845461096</v>
      </c>
      <c r="AA61">
        <v>8.8454664812347703E-4</v>
      </c>
      <c r="AB61">
        <v>34</v>
      </c>
    </row>
    <row r="62" spans="1:28" x14ac:dyDescent="0.25">
      <c r="A62">
        <v>1186</v>
      </c>
      <c r="B62" s="1">
        <v>45448</v>
      </c>
      <c r="C62" t="s">
        <v>189</v>
      </c>
      <c r="D62">
        <v>4.71</v>
      </c>
      <c r="E62">
        <v>905</v>
      </c>
      <c r="F62" t="s">
        <v>40</v>
      </c>
      <c r="G62" t="s">
        <v>190</v>
      </c>
      <c r="H62">
        <v>11008</v>
      </c>
      <c r="I62">
        <f>VLOOKUP(H62,Sheet1!H:AE,2)</f>
        <v>3</v>
      </c>
      <c r="J62" t="str">
        <f>VLOOKUP(H62,Sheet1!H:T,3,FALSE)</f>
        <v>22"</v>
      </c>
      <c r="K62">
        <f>VLOOKUP($H62,Sheet1!H:$AE,4,FALSE)</f>
        <v>150000</v>
      </c>
      <c r="L62" t="str">
        <f>VLOOKUP($H62,Sheet1!$H:$AE,5,FALSE)</f>
        <v>Apex</v>
      </c>
      <c r="M62">
        <f>VLOOKUP($H62,Sheet1!$H:$AE,13,FALSE)</f>
        <v>1864</v>
      </c>
      <c r="N62">
        <v>2814.8536998552199</v>
      </c>
      <c r="O62">
        <v>3529001.6857792898</v>
      </c>
      <c r="P62">
        <v>16620.724979598901</v>
      </c>
      <c r="Q62">
        <v>21238803.965082198</v>
      </c>
      <c r="R62">
        <v>0.353798958029233</v>
      </c>
      <c r="S62">
        <v>4.7574318922304999E-3</v>
      </c>
      <c r="T62">
        <v>0.23627894014038001</v>
      </c>
      <c r="U62">
        <v>5.3733300233630996E-3</v>
      </c>
      <c r="V62">
        <v>0.99896296296296305</v>
      </c>
      <c r="W62">
        <v>1.0359615912206299E-3</v>
      </c>
      <c r="X62">
        <v>0.43331738202164399</v>
      </c>
      <c r="Y62">
        <v>0.24555342845994099</v>
      </c>
      <c r="Z62">
        <v>0.13521569368244701</v>
      </c>
      <c r="AA62">
        <v>9.0151645924958703E-4</v>
      </c>
      <c r="AB62">
        <v>74</v>
      </c>
    </row>
    <row r="63" spans="1:28" x14ac:dyDescent="0.25">
      <c r="A63">
        <v>1187</v>
      </c>
      <c r="B63" s="1">
        <v>45448</v>
      </c>
      <c r="C63" t="s">
        <v>191</v>
      </c>
      <c r="D63">
        <v>4.71</v>
      </c>
      <c r="E63">
        <v>905</v>
      </c>
      <c r="F63" t="s">
        <v>44</v>
      </c>
      <c r="G63" s="2" t="s">
        <v>192</v>
      </c>
      <c r="H63">
        <v>10008</v>
      </c>
      <c r="I63">
        <f>VLOOKUP(H63,Sheet1!H:AE,2)</f>
        <v>3</v>
      </c>
      <c r="J63" t="str">
        <f>VLOOKUP(H63,Sheet1!H:T,3,FALSE)</f>
        <v>22"</v>
      </c>
      <c r="K63">
        <f>VLOOKUP($H63,Sheet1!H:$AE,4,FALSE)</f>
        <v>150000</v>
      </c>
      <c r="L63" t="str">
        <f>VLOOKUP($H63,Sheet1!$H:$AE,5,FALSE)</f>
        <v>Red Rover</v>
      </c>
      <c r="M63">
        <f>VLOOKUP($H63,Sheet1!$H:$AE,13,FALSE)</f>
        <v>1045</v>
      </c>
      <c r="N63">
        <v>2852.7316996296599</v>
      </c>
      <c r="O63">
        <v>2730640.9298862698</v>
      </c>
      <c r="P63">
        <v>15404.725302987799</v>
      </c>
      <c r="Q63">
        <v>23674912.943567101</v>
      </c>
      <c r="R63">
        <v>0.404290877451844</v>
      </c>
      <c r="S63">
        <v>3.7530744134557899E-3</v>
      </c>
      <c r="T63">
        <v>0.26479804206546298</v>
      </c>
      <c r="U63">
        <v>7.7084594788200704E-3</v>
      </c>
      <c r="V63">
        <v>1</v>
      </c>
      <c r="W63">
        <v>0</v>
      </c>
      <c r="X63">
        <v>0.61953490940211797</v>
      </c>
      <c r="Y63">
        <v>0.235711405434187</v>
      </c>
      <c r="Z63">
        <v>7.7678776515304901E-2</v>
      </c>
      <c r="AA63">
        <v>1.12397102936487E-3</v>
      </c>
      <c r="AB63">
        <v>87</v>
      </c>
    </row>
    <row r="64" spans="1:28" x14ac:dyDescent="0.25">
      <c r="A64">
        <v>1188</v>
      </c>
      <c r="B64" s="1">
        <v>45448</v>
      </c>
      <c r="C64" t="s">
        <v>193</v>
      </c>
      <c r="D64">
        <v>4.71</v>
      </c>
      <c r="E64">
        <v>905</v>
      </c>
      <c r="F64" t="s">
        <v>48</v>
      </c>
      <c r="G64" t="s">
        <v>194</v>
      </c>
      <c r="H64">
        <v>9008</v>
      </c>
      <c r="I64">
        <f>VLOOKUP(H64,Sheet1!H:AE,2)</f>
        <v>2</v>
      </c>
      <c r="J64" t="str">
        <f>VLOOKUP(H64,Sheet1!H:T,3,FALSE)</f>
        <v>22"</v>
      </c>
      <c r="K64">
        <f>VLOOKUP($H64,Sheet1!H:$AE,4,FALSE)</f>
        <v>150000</v>
      </c>
      <c r="L64" t="str">
        <f>VLOOKUP($H64,Sheet1!$H:$AE,5,FALSE)</f>
        <v>Zorro</v>
      </c>
      <c r="M64">
        <f>VLOOKUP($H64,Sheet1!$H:$AE,13,FALSE)</f>
        <v>1911</v>
      </c>
      <c r="N64">
        <v>2933.2705604254902</v>
      </c>
      <c r="O64">
        <v>2953666.3644411298</v>
      </c>
      <c r="P64">
        <v>15980.6732429612</v>
      </c>
      <c r="Q64">
        <v>20740895.613627099</v>
      </c>
      <c r="R64">
        <v>0.36651520456296499</v>
      </c>
      <c r="S64">
        <v>4.0269257716301996E-3</v>
      </c>
      <c r="T64">
        <v>0.24221883428121599</v>
      </c>
      <c r="U64">
        <v>7.1156064783209896E-3</v>
      </c>
      <c r="V64">
        <v>1</v>
      </c>
      <c r="W64">
        <v>0</v>
      </c>
      <c r="X64">
        <v>0.50837896286752804</v>
      </c>
      <c r="Y64">
        <v>0.249929792981648</v>
      </c>
      <c r="Z64">
        <v>0.10209411788841601</v>
      </c>
      <c r="AA64">
        <v>8.5563714117808899E-4</v>
      </c>
      <c r="AB64">
        <v>96</v>
      </c>
    </row>
    <row r="65" spans="1:28" x14ac:dyDescent="0.25">
      <c r="A65">
        <v>1189</v>
      </c>
      <c r="B65" s="1">
        <v>45448</v>
      </c>
      <c r="C65" t="s">
        <v>195</v>
      </c>
      <c r="D65">
        <v>4.71</v>
      </c>
      <c r="E65">
        <v>905</v>
      </c>
      <c r="F65" t="s">
        <v>52</v>
      </c>
      <c r="G65" t="s">
        <v>196</v>
      </c>
      <c r="H65">
        <v>8008</v>
      </c>
      <c r="I65">
        <f>VLOOKUP(H65,Sheet1!H:AE,2)</f>
        <v>2</v>
      </c>
      <c r="J65" t="str">
        <f>VLOOKUP(H65,Sheet1!H:T,3,FALSE)</f>
        <v>22"</v>
      </c>
      <c r="K65">
        <f>VLOOKUP($H65,Sheet1!H:$AE,4,FALSE)</f>
        <v>150000</v>
      </c>
      <c r="L65" t="str">
        <f>VLOOKUP($H65,Sheet1!$H:$AE,5,FALSE)</f>
        <v>black bear</v>
      </c>
      <c r="M65">
        <f>VLOOKUP($H65,Sheet1!$H:$AE,13,FALSE)</f>
        <v>2266</v>
      </c>
      <c r="N65">
        <v>2687.64179060376</v>
      </c>
      <c r="O65">
        <v>1766277.85544452</v>
      </c>
      <c r="P65">
        <v>16526.1640947333</v>
      </c>
      <c r="Q65">
        <v>20729807.876128402</v>
      </c>
      <c r="R65">
        <v>0.32278798193979302</v>
      </c>
      <c r="S65">
        <v>3.9985791790172398E-3</v>
      </c>
      <c r="T65">
        <v>0.234957914701061</v>
      </c>
      <c r="U65">
        <v>4.6124172871329699E-3</v>
      </c>
      <c r="V65">
        <v>1</v>
      </c>
      <c r="W65">
        <v>0</v>
      </c>
      <c r="X65">
        <v>0.60037178142197101</v>
      </c>
      <c r="Y65">
        <v>0.23992550549470501</v>
      </c>
      <c r="Z65">
        <v>9.6373351045459299E-2</v>
      </c>
      <c r="AA65">
        <v>9.1612187112057898E-4</v>
      </c>
      <c r="AB65">
        <v>89</v>
      </c>
    </row>
    <row r="66" spans="1:28" x14ac:dyDescent="0.25">
      <c r="A66">
        <v>1190</v>
      </c>
      <c r="B66" s="1">
        <v>45448</v>
      </c>
      <c r="C66" t="s">
        <v>197</v>
      </c>
      <c r="D66">
        <v>4.71</v>
      </c>
      <c r="E66">
        <v>905</v>
      </c>
      <c r="F66" t="s">
        <v>56</v>
      </c>
      <c r="G66" t="s">
        <v>198</v>
      </c>
      <c r="H66">
        <v>7008</v>
      </c>
      <c r="I66">
        <f>VLOOKUP(H66,Sheet1!H:AE,2)</f>
        <v>2</v>
      </c>
      <c r="J66" t="str">
        <f>VLOOKUP(H66,Sheet1!H:T,3,FALSE)</f>
        <v>22"</v>
      </c>
      <c r="K66">
        <f>VLOOKUP($H66,Sheet1!H:$AE,4,FALSE)</f>
        <v>150000</v>
      </c>
      <c r="L66" t="str">
        <f>VLOOKUP($H66,Sheet1!$H:$AE,5,FALSE)</f>
        <v>Eclipse</v>
      </c>
      <c r="M66">
        <f>VLOOKUP($H66,Sheet1!$H:$AE,13,FALSE)</f>
        <v>2113</v>
      </c>
      <c r="N66">
        <v>2859.0440165468299</v>
      </c>
      <c r="O66">
        <v>1293345.29487134</v>
      </c>
      <c r="P66">
        <v>16168.8458572164</v>
      </c>
      <c r="Q66">
        <v>15768861.3245444</v>
      </c>
      <c r="R66">
        <v>0.34308589790141197</v>
      </c>
      <c r="S66">
        <v>3.5191541460044798E-3</v>
      </c>
      <c r="T66">
        <v>0.22918190091480001</v>
      </c>
      <c r="U66">
        <v>5.3039167516865902E-3</v>
      </c>
      <c r="V66">
        <v>1</v>
      </c>
      <c r="W66">
        <v>0</v>
      </c>
      <c r="X66">
        <v>0.49821929784199098</v>
      </c>
      <c r="Y66">
        <v>0.24999682909936299</v>
      </c>
      <c r="Z66">
        <v>9.3056265944980301E-2</v>
      </c>
      <c r="AA66">
        <v>9.3336123640364304E-4</v>
      </c>
      <c r="AB66">
        <v>111</v>
      </c>
    </row>
    <row r="67" spans="1:28" x14ac:dyDescent="0.25">
      <c r="A67">
        <v>1191</v>
      </c>
      <c r="B67" s="1">
        <v>45448</v>
      </c>
      <c r="C67" t="s">
        <v>199</v>
      </c>
      <c r="D67">
        <v>4.71</v>
      </c>
      <c r="E67">
        <v>905</v>
      </c>
      <c r="F67" t="s">
        <v>60</v>
      </c>
      <c r="G67" t="s">
        <v>200</v>
      </c>
      <c r="H67">
        <v>6008</v>
      </c>
      <c r="I67">
        <f>VLOOKUP(H67,Sheet1!H:AE,2)</f>
        <v>2</v>
      </c>
      <c r="J67" t="str">
        <f>VLOOKUP(H67,Sheet1!H:T,3,FALSE)</f>
        <v>22"</v>
      </c>
      <c r="K67">
        <f>VLOOKUP($H67,Sheet1!H:$AE,4,FALSE)</f>
        <v>150000</v>
      </c>
      <c r="L67" t="str">
        <f>VLOOKUP($H67,Sheet1!$H:$AE,5,FALSE)</f>
        <v>T9905</v>
      </c>
      <c r="M67">
        <f>VLOOKUP($H67,Sheet1!$H:$AE,13,FALSE)</f>
        <v>2690</v>
      </c>
      <c r="N67">
        <v>2726.6898355165999</v>
      </c>
      <c r="O67">
        <v>1346077.6497548299</v>
      </c>
      <c r="P67">
        <v>16560.935030609999</v>
      </c>
      <c r="Q67">
        <v>15842425.855199501</v>
      </c>
      <c r="R67">
        <v>0.350699681768393</v>
      </c>
      <c r="S67">
        <v>2.36456210003209E-3</v>
      </c>
      <c r="T67">
        <v>0.21770671973887201</v>
      </c>
      <c r="U67">
        <v>2.7461690546228602E-3</v>
      </c>
      <c r="V67">
        <v>0.99875928223551402</v>
      </c>
      <c r="W67">
        <v>1.2391783839189299E-3</v>
      </c>
      <c r="X67">
        <v>0.48859359327118601</v>
      </c>
      <c r="Y67">
        <v>0.249869893885663</v>
      </c>
      <c r="Z67">
        <v>9.0332477784697399E-2</v>
      </c>
      <c r="AA67">
        <v>1.02611903384868E-3</v>
      </c>
      <c r="AB67">
        <v>72</v>
      </c>
    </row>
    <row r="68" spans="1:28" x14ac:dyDescent="0.25">
      <c r="A68">
        <v>1192</v>
      </c>
      <c r="B68" s="1">
        <v>45448</v>
      </c>
      <c r="C68" t="s">
        <v>201</v>
      </c>
      <c r="D68">
        <v>4.71</v>
      </c>
      <c r="E68">
        <v>905</v>
      </c>
      <c r="F68" t="s">
        <v>64</v>
      </c>
      <c r="G68" t="s">
        <v>202</v>
      </c>
      <c r="H68">
        <v>5008</v>
      </c>
      <c r="I68">
        <f>VLOOKUP(H68,Sheet1!H:AE,2)</f>
        <v>2</v>
      </c>
      <c r="J68" t="str">
        <f>VLOOKUP(H68,Sheet1!H:T,3,FALSE)</f>
        <v>22"</v>
      </c>
      <c r="K68">
        <f>VLOOKUP($H68,Sheet1!H:$AE,4,FALSE)</f>
        <v>150000</v>
      </c>
      <c r="L68" t="str">
        <f>VLOOKUP($H68,Sheet1!$H:$AE,5,FALSE)</f>
        <v>CLERK</v>
      </c>
      <c r="M68">
        <f>VLOOKUP($H68,Sheet1!$H:$AE,13,FALSE)</f>
        <v>1081</v>
      </c>
      <c r="N68">
        <v>3047.67162076981</v>
      </c>
      <c r="O68">
        <v>2984034.2707571299</v>
      </c>
      <c r="P68">
        <v>16102.0515787975</v>
      </c>
      <c r="Q68">
        <v>18924779.1742188</v>
      </c>
      <c r="R68">
        <v>0.36579327673354101</v>
      </c>
      <c r="S68">
        <v>3.1060725712020502E-3</v>
      </c>
      <c r="T68">
        <v>0.24173182916970401</v>
      </c>
      <c r="U68">
        <v>6.6712011122630399E-3</v>
      </c>
      <c r="V68">
        <v>1</v>
      </c>
      <c r="W68">
        <v>0</v>
      </c>
      <c r="X68">
        <v>0.56504854368932</v>
      </c>
      <c r="Y68">
        <v>0.245768686963972</v>
      </c>
      <c r="Z68">
        <v>8.5872909838574096E-2</v>
      </c>
      <c r="AA68">
        <v>8.7433742098954204E-4</v>
      </c>
      <c r="AB68">
        <v>84</v>
      </c>
    </row>
    <row r="69" spans="1:28" x14ac:dyDescent="0.25">
      <c r="A69">
        <v>1193</v>
      </c>
      <c r="B69" s="1">
        <v>45448</v>
      </c>
      <c r="C69" t="s">
        <v>203</v>
      </c>
      <c r="D69">
        <v>4.71</v>
      </c>
      <c r="E69">
        <v>905</v>
      </c>
      <c r="F69" t="s">
        <v>68</v>
      </c>
      <c r="G69" t="s">
        <v>204</v>
      </c>
      <c r="H69">
        <v>4008</v>
      </c>
      <c r="I69">
        <f>VLOOKUP(H69,Sheet1!H:AE,2)</f>
        <v>1</v>
      </c>
      <c r="J69" t="str">
        <f>VLOOKUP(H69,Sheet1!H:T,3,FALSE)</f>
        <v>22"</v>
      </c>
      <c r="K69">
        <f>VLOOKUP($H69,Sheet1!H:$AE,4,FALSE)</f>
        <v>150000</v>
      </c>
      <c r="L69" t="str">
        <f>VLOOKUP($H69,Sheet1!$H:$AE,5,FALSE)</f>
        <v>Red Dawn</v>
      </c>
      <c r="M69">
        <f>VLOOKUP($H69,Sheet1!$H:$AE,13,FALSE)</f>
        <v>741</v>
      </c>
      <c r="N69">
        <v>3024.3901370024901</v>
      </c>
      <c r="O69">
        <v>3588103.5136196199</v>
      </c>
      <c r="P69">
        <v>16093.276654388899</v>
      </c>
      <c r="Q69">
        <v>19682720.068003301</v>
      </c>
      <c r="R69">
        <v>0.36672128972291601</v>
      </c>
      <c r="S69">
        <v>3.1924874597832999E-3</v>
      </c>
      <c r="T69">
        <v>0.243530689261206</v>
      </c>
      <c r="U69">
        <v>6.6593745921487597E-3</v>
      </c>
      <c r="V69">
        <v>1</v>
      </c>
      <c r="W69">
        <v>0</v>
      </c>
      <c r="X69">
        <v>0.46320410060091799</v>
      </c>
      <c r="Y69">
        <v>0.24864606178739401</v>
      </c>
      <c r="Z69">
        <v>9.0307155243878806E-2</v>
      </c>
      <c r="AA69">
        <v>9.5910824056944801E-4</v>
      </c>
      <c r="AB69">
        <v>65</v>
      </c>
    </row>
    <row r="70" spans="1:28" x14ac:dyDescent="0.25">
      <c r="A70">
        <v>1194</v>
      </c>
      <c r="B70" s="1">
        <v>45448</v>
      </c>
      <c r="C70" t="s">
        <v>205</v>
      </c>
      <c r="D70">
        <v>4.71</v>
      </c>
      <c r="E70">
        <v>905</v>
      </c>
      <c r="F70" t="s">
        <v>72</v>
      </c>
      <c r="G70" t="s">
        <v>206</v>
      </c>
      <c r="H70">
        <v>3008</v>
      </c>
      <c r="I70">
        <f>VLOOKUP(H70,Sheet1!H:AE,2)</f>
        <v>1</v>
      </c>
      <c r="J70" t="str">
        <f>VLOOKUP(H70,Sheet1!H:T,3,FALSE)</f>
        <v>22"</v>
      </c>
      <c r="K70">
        <f>VLOOKUP($H70,Sheet1!H:$AE,4,FALSE)</f>
        <v>150000</v>
      </c>
      <c r="L70" t="str">
        <f>VLOOKUP($H70,Sheet1!$H:$AE,5,FALSE)</f>
        <v>Ronnies red</v>
      </c>
      <c r="M70">
        <f>VLOOKUP($H70,Sheet1!$H:$AE,13,FALSE)</f>
        <v>991</v>
      </c>
      <c r="N70">
        <v>2745.2425167689398</v>
      </c>
      <c r="O70">
        <v>3042196.3177356599</v>
      </c>
      <c r="P70">
        <v>15475.813606945299</v>
      </c>
      <c r="Q70">
        <v>19155214.120208699</v>
      </c>
      <c r="R70">
        <v>0.36397781261850998</v>
      </c>
      <c r="S70">
        <v>3.2474303551215402E-3</v>
      </c>
      <c r="T70">
        <v>0.24417020269956499</v>
      </c>
      <c r="U70">
        <v>6.3944059077561998E-3</v>
      </c>
      <c r="V70">
        <v>1</v>
      </c>
      <c r="W70">
        <v>0</v>
      </c>
      <c r="X70">
        <v>0.61993502848255599</v>
      </c>
      <c r="Y70">
        <v>0.23561558894291901</v>
      </c>
      <c r="Z70">
        <v>9.4957034091235501E-2</v>
      </c>
      <c r="AA70">
        <v>8.4252624967331795E-4</v>
      </c>
      <c r="AB70">
        <v>68</v>
      </c>
    </row>
    <row r="71" spans="1:28" x14ac:dyDescent="0.25">
      <c r="A71">
        <v>1195</v>
      </c>
      <c r="B71" s="1">
        <v>45448</v>
      </c>
      <c r="C71" t="s">
        <v>207</v>
      </c>
      <c r="D71">
        <v>4.71</v>
      </c>
      <c r="E71">
        <v>905</v>
      </c>
      <c r="F71" t="s">
        <v>76</v>
      </c>
      <c r="G71" t="s">
        <v>208</v>
      </c>
      <c r="H71">
        <v>2008</v>
      </c>
      <c r="I71">
        <f>VLOOKUP(H71,Sheet1!H:AE,2)</f>
        <v>1</v>
      </c>
      <c r="J71" t="str">
        <f>VLOOKUP(H71,Sheet1!H:T,3,FALSE)</f>
        <v>22"</v>
      </c>
      <c r="K71">
        <f>VLOOKUP($H71,Sheet1!H:$AE,4,FALSE)</f>
        <v>150000</v>
      </c>
      <c r="L71" t="str">
        <f>VLOOKUP($H71,Sheet1!$H:$AE,5,FALSE)</f>
        <v>Merlot</v>
      </c>
      <c r="M71">
        <f>VLOOKUP($H71,Sheet1!$H:$AE,13,FALSE)</f>
        <v>1672</v>
      </c>
      <c r="N71">
        <v>2134.87147641091</v>
      </c>
      <c r="O71">
        <v>948777.00874515797</v>
      </c>
      <c r="P71">
        <v>15745.689050728201</v>
      </c>
      <c r="Q71">
        <v>16564864.7990079</v>
      </c>
      <c r="R71">
        <v>0.36279977649856798</v>
      </c>
      <c r="S71">
        <v>2.2943075021975199E-3</v>
      </c>
      <c r="T71">
        <v>0.22663083286424901</v>
      </c>
      <c r="U71">
        <v>2.2590396469285901E-3</v>
      </c>
      <c r="V71">
        <v>0.90253703703703703</v>
      </c>
      <c r="W71">
        <v>8.7963933813455394E-2</v>
      </c>
      <c r="X71">
        <v>0.49819169005659503</v>
      </c>
      <c r="Y71">
        <v>0.249996730014999</v>
      </c>
      <c r="Z71">
        <v>0.10455132394219099</v>
      </c>
      <c r="AA71">
        <v>9.9505154427514996E-4</v>
      </c>
      <c r="AB71">
        <v>37</v>
      </c>
    </row>
    <row r="72" spans="1:28" x14ac:dyDescent="0.25">
      <c r="A72">
        <v>1196</v>
      </c>
      <c r="B72" s="1">
        <v>45448</v>
      </c>
      <c r="C72" t="s">
        <v>209</v>
      </c>
      <c r="D72">
        <v>4.71</v>
      </c>
      <c r="E72">
        <v>905</v>
      </c>
      <c r="F72" t="s">
        <v>79</v>
      </c>
      <c r="G72" t="s">
        <v>210</v>
      </c>
      <c r="H72">
        <v>1008</v>
      </c>
      <c r="I72">
        <f>VLOOKUP(H72,Sheet1!H:AE,2)</f>
        <v>1</v>
      </c>
      <c r="J72" t="str">
        <f>VLOOKUP(H72,Sheet1!H:T,3,FALSE)</f>
        <v>22"</v>
      </c>
      <c r="K72">
        <f>VLOOKUP($H72,Sheet1!H:$AE,4,FALSE)</f>
        <v>150000</v>
      </c>
      <c r="L72" t="str">
        <f>VLOOKUP($H72,Sheet1!$H:$AE,5,FALSE)</f>
        <v>Nautica</v>
      </c>
      <c r="M72">
        <f>VLOOKUP($H72,Sheet1!$H:$AE,13,FALSE)</f>
        <v>2344</v>
      </c>
      <c r="N72">
        <v>2456.1615317941901</v>
      </c>
      <c r="O72">
        <v>3704944.4051776598</v>
      </c>
      <c r="P72">
        <v>15405.558641212399</v>
      </c>
      <c r="Q72">
        <v>17316034.335781202</v>
      </c>
      <c r="R72">
        <v>0.39278793660157002</v>
      </c>
      <c r="S72">
        <v>2.7541933733342401E-3</v>
      </c>
      <c r="T72">
        <v>0.247542753588126</v>
      </c>
      <c r="U72">
        <v>5.7057276028160703E-3</v>
      </c>
      <c r="V72">
        <v>1</v>
      </c>
      <c r="W72">
        <v>0</v>
      </c>
      <c r="X72">
        <v>0.566611758859635</v>
      </c>
      <c r="Y72">
        <v>0.24556287358208401</v>
      </c>
      <c r="Z72">
        <v>0</v>
      </c>
      <c r="AA72">
        <v>0</v>
      </c>
      <c r="AB72">
        <v>88</v>
      </c>
    </row>
    <row r="73" spans="1:28" x14ac:dyDescent="0.25">
      <c r="A73">
        <v>1197</v>
      </c>
      <c r="B73" s="1">
        <v>45448</v>
      </c>
      <c r="C73" t="s">
        <v>211</v>
      </c>
      <c r="D73">
        <v>4.71</v>
      </c>
      <c r="E73">
        <v>905</v>
      </c>
      <c r="F73" t="s">
        <v>82</v>
      </c>
      <c r="G73" t="s">
        <v>212</v>
      </c>
      <c r="H73">
        <v>1009</v>
      </c>
      <c r="I73">
        <f>VLOOKUP(H73,Sheet1!H:AE,2)</f>
        <v>1</v>
      </c>
      <c r="J73" t="str">
        <f>VLOOKUP(H73,Sheet1!H:T,3,FALSE)</f>
        <v>22"</v>
      </c>
      <c r="K73">
        <f>VLOOKUP($H73,Sheet1!H:$AE,4,FALSE)</f>
        <v>100000</v>
      </c>
      <c r="L73" t="str">
        <f>VLOOKUP($H73,Sheet1!$H:$AE,5,FALSE)</f>
        <v>black bear</v>
      </c>
      <c r="M73">
        <f>VLOOKUP($H73,Sheet1!$H:$AE,13,FALSE)</f>
        <v>2448</v>
      </c>
      <c r="N73">
        <v>2141.7536294691199</v>
      </c>
      <c r="O73">
        <v>1320664.8246162401</v>
      </c>
      <c r="P73">
        <v>15812.5004721763</v>
      </c>
      <c r="Q73">
        <v>16950728.431809802</v>
      </c>
      <c r="R73">
        <v>0.38632196111273098</v>
      </c>
      <c r="S73">
        <v>2.4086972461382101E-3</v>
      </c>
      <c r="T73">
        <v>0.238284201100183</v>
      </c>
      <c r="U73">
        <v>3.5113552930727799E-3</v>
      </c>
      <c r="V73">
        <v>0.97529675376381897</v>
      </c>
      <c r="W73">
        <v>2.4092995861588501E-2</v>
      </c>
      <c r="X73">
        <v>0.51787160421114597</v>
      </c>
      <c r="Y73">
        <v>0.24968060576287601</v>
      </c>
      <c r="Z73">
        <v>0</v>
      </c>
      <c r="AA73">
        <v>0</v>
      </c>
      <c r="AB73">
        <v>68</v>
      </c>
    </row>
    <row r="74" spans="1:28" x14ac:dyDescent="0.25">
      <c r="A74">
        <v>1198</v>
      </c>
      <c r="B74" s="1">
        <v>45448</v>
      </c>
      <c r="C74" t="s">
        <v>213</v>
      </c>
      <c r="D74">
        <v>4.71</v>
      </c>
      <c r="E74">
        <v>905</v>
      </c>
      <c r="F74" t="s">
        <v>85</v>
      </c>
      <c r="G74" t="s">
        <v>214</v>
      </c>
      <c r="H74">
        <v>2009</v>
      </c>
      <c r="I74">
        <f>VLOOKUP(H74,Sheet1!H:AE,2)</f>
        <v>1</v>
      </c>
      <c r="J74" t="str">
        <f>VLOOKUP(H74,Sheet1!H:T,3,FALSE)</f>
        <v>22"</v>
      </c>
      <c r="K74">
        <f>VLOOKUP($H74,Sheet1!H:$AE,4,FALSE)</f>
        <v>100000</v>
      </c>
      <c r="L74" t="str">
        <f>VLOOKUP($H74,Sheet1!$H:$AE,5,FALSE)</f>
        <v>Merlot</v>
      </c>
      <c r="M74">
        <f>VLOOKUP($H74,Sheet1!$H:$AE,13,FALSE)</f>
        <v>1742</v>
      </c>
      <c r="N74">
        <v>2183.6359401162199</v>
      </c>
      <c r="O74">
        <v>961139.95164242096</v>
      </c>
      <c r="P74">
        <v>15813.014479614199</v>
      </c>
      <c r="Q74">
        <v>14171383.1788786</v>
      </c>
      <c r="R74">
        <v>0.357754046245228</v>
      </c>
      <c r="S74">
        <v>2.4657022078607201E-3</v>
      </c>
      <c r="T74">
        <v>0.22383679939147</v>
      </c>
      <c r="U74">
        <v>2.6282841531173398E-3</v>
      </c>
      <c r="V74">
        <v>0.97879511824731003</v>
      </c>
      <c r="W74">
        <v>2.07552347425E-2</v>
      </c>
      <c r="X74">
        <v>0.41509225601619598</v>
      </c>
      <c r="Y74">
        <v>0.24279067501183499</v>
      </c>
      <c r="Z74">
        <v>0.10455132394219099</v>
      </c>
      <c r="AA74">
        <v>9.9505154427514996E-4</v>
      </c>
      <c r="AB74">
        <v>49</v>
      </c>
    </row>
    <row r="75" spans="1:28" x14ac:dyDescent="0.25">
      <c r="A75">
        <v>1199</v>
      </c>
      <c r="B75" s="1">
        <v>45448</v>
      </c>
      <c r="C75" t="s">
        <v>215</v>
      </c>
      <c r="D75">
        <v>4.71</v>
      </c>
      <c r="E75">
        <v>905</v>
      </c>
      <c r="F75" t="s">
        <v>88</v>
      </c>
      <c r="G75" t="s">
        <v>216</v>
      </c>
      <c r="H75">
        <v>3009</v>
      </c>
      <c r="I75">
        <f>VLOOKUP(H75,Sheet1!H:AE,2)</f>
        <v>1</v>
      </c>
      <c r="J75" t="str">
        <f>VLOOKUP(H75,Sheet1!H:T,3,FALSE)</f>
        <v>22"</v>
      </c>
      <c r="K75">
        <f>VLOOKUP($H75,Sheet1!H:$AE,4,FALSE)</f>
        <v>100000</v>
      </c>
      <c r="L75" t="str">
        <f>VLOOKUP($H75,Sheet1!$H:$AE,5,FALSE)</f>
        <v>CLERK</v>
      </c>
      <c r="M75">
        <f>VLOOKUP($H75,Sheet1!$H:$AE,13,FALSE)</f>
        <v>893</v>
      </c>
      <c r="N75">
        <v>2596.8706983157699</v>
      </c>
      <c r="O75">
        <v>1665263.27820865</v>
      </c>
      <c r="P75">
        <v>15629.748760349799</v>
      </c>
      <c r="Q75">
        <v>16641153.953411501</v>
      </c>
      <c r="R75">
        <v>0.35751756041659399</v>
      </c>
      <c r="S75">
        <v>2.8837500709563602E-3</v>
      </c>
      <c r="T75">
        <v>0.230365734458262</v>
      </c>
      <c r="U75">
        <v>4.2116258486018703E-3</v>
      </c>
      <c r="V75">
        <v>1</v>
      </c>
      <c r="W75">
        <v>0</v>
      </c>
      <c r="X75">
        <v>0.67062980822321105</v>
      </c>
      <c r="Y75">
        <v>0.22088546854529401</v>
      </c>
      <c r="Z75">
        <v>9.4957034091235501E-2</v>
      </c>
      <c r="AA75">
        <v>8.4252624967331795E-4</v>
      </c>
      <c r="AB75">
        <v>74</v>
      </c>
    </row>
    <row r="76" spans="1:28" x14ac:dyDescent="0.25">
      <c r="A76">
        <v>1200</v>
      </c>
      <c r="B76" s="1">
        <v>45448</v>
      </c>
      <c r="C76" t="s">
        <v>217</v>
      </c>
      <c r="D76">
        <v>4.71</v>
      </c>
      <c r="E76">
        <v>905</v>
      </c>
      <c r="F76" t="s">
        <v>91</v>
      </c>
      <c r="G76" t="s">
        <v>218</v>
      </c>
      <c r="H76">
        <v>4009</v>
      </c>
      <c r="I76">
        <f>VLOOKUP(H76,Sheet1!H:AE,2)</f>
        <v>1</v>
      </c>
      <c r="J76" t="str">
        <f>VLOOKUP(H76,Sheet1!H:T,3,FALSE)</f>
        <v>22"</v>
      </c>
      <c r="K76">
        <f>VLOOKUP($H76,Sheet1!H:$AE,4,FALSE)</f>
        <v>100000</v>
      </c>
      <c r="L76" t="str">
        <f>VLOOKUP($H76,Sheet1!$H:$AE,5,FALSE)</f>
        <v>Ronnies red</v>
      </c>
      <c r="M76">
        <f>VLOOKUP($H76,Sheet1!$H:$AE,13,FALSE)</f>
        <v>987</v>
      </c>
      <c r="N76">
        <v>2875.3127314632402</v>
      </c>
      <c r="O76">
        <v>2971954.3110616198</v>
      </c>
      <c r="P76">
        <v>16659.873732032102</v>
      </c>
      <c r="Q76">
        <v>18778040.455788601</v>
      </c>
      <c r="R76">
        <v>0.36159161452823901</v>
      </c>
      <c r="S76">
        <v>2.6462466070841699E-3</v>
      </c>
      <c r="T76">
        <v>0.23259066607792001</v>
      </c>
      <c r="U76">
        <v>4.2236956681663803E-3</v>
      </c>
      <c r="V76">
        <v>1</v>
      </c>
      <c r="W76">
        <v>0</v>
      </c>
      <c r="X76">
        <v>0.56776728691586997</v>
      </c>
      <c r="Y76">
        <v>0.24540759482414901</v>
      </c>
      <c r="Z76">
        <v>9.0307155243878806E-2</v>
      </c>
      <c r="AA76">
        <v>9.5910824056944801E-4</v>
      </c>
      <c r="AB76">
        <v>62</v>
      </c>
    </row>
    <row r="77" spans="1:28" x14ac:dyDescent="0.25">
      <c r="A77">
        <v>1201</v>
      </c>
      <c r="B77" s="1">
        <v>45448</v>
      </c>
      <c r="C77" t="s">
        <v>219</v>
      </c>
      <c r="D77">
        <v>4.71</v>
      </c>
      <c r="E77">
        <v>905</v>
      </c>
      <c r="F77" t="s">
        <v>94</v>
      </c>
      <c r="G77" t="s">
        <v>220</v>
      </c>
      <c r="H77">
        <v>5009</v>
      </c>
      <c r="I77">
        <f>VLOOKUP(H77,Sheet1!H:AE,2)</f>
        <v>2</v>
      </c>
      <c r="J77" t="str">
        <f>VLOOKUP(H77,Sheet1!H:T,3,FALSE)</f>
        <v>22"</v>
      </c>
      <c r="K77">
        <f>VLOOKUP($H77,Sheet1!H:$AE,4,FALSE)</f>
        <v>100000</v>
      </c>
      <c r="L77" t="str">
        <f>VLOOKUP($H77,Sheet1!$H:$AE,5,FALSE)</f>
        <v>Redhawk</v>
      </c>
      <c r="M77">
        <f>VLOOKUP($H77,Sheet1!$H:$AE,13,FALSE)</f>
        <v>854</v>
      </c>
      <c r="N77">
        <v>2905.2997833152799</v>
      </c>
      <c r="O77">
        <v>2171494.2952870699</v>
      </c>
      <c r="P77">
        <v>16354.5800212754</v>
      </c>
      <c r="Q77">
        <v>18277694.1562576</v>
      </c>
      <c r="R77">
        <v>0.370992033780981</v>
      </c>
      <c r="S77">
        <v>3.2768027177289098E-3</v>
      </c>
      <c r="T77">
        <v>0.24355834123787801</v>
      </c>
      <c r="U77">
        <v>5.4132456322016301E-3</v>
      </c>
      <c r="V77">
        <v>1</v>
      </c>
      <c r="W77">
        <v>0</v>
      </c>
      <c r="X77">
        <v>0.70418154378473796</v>
      </c>
      <c r="Y77">
        <v>0.20830989717770501</v>
      </c>
      <c r="Z77">
        <v>8.5872909838574096E-2</v>
      </c>
      <c r="AA77">
        <v>8.7433742098954204E-4</v>
      </c>
      <c r="AB77">
        <v>88</v>
      </c>
    </row>
    <row r="78" spans="1:28" x14ac:dyDescent="0.25">
      <c r="A78">
        <v>1202</v>
      </c>
      <c r="B78" s="1">
        <v>45448</v>
      </c>
      <c r="C78" t="s">
        <v>221</v>
      </c>
      <c r="D78">
        <v>4.71</v>
      </c>
      <c r="E78">
        <v>905</v>
      </c>
      <c r="F78" t="s">
        <v>97</v>
      </c>
      <c r="G78" s="2" t="s">
        <v>222</v>
      </c>
      <c r="H78">
        <v>6009</v>
      </c>
      <c r="I78">
        <f>VLOOKUP(H78,Sheet1!H:AE,2)</f>
        <v>2</v>
      </c>
      <c r="J78" t="str">
        <f>VLOOKUP(H78,Sheet1!H:T,3,FALSE)</f>
        <v>22"</v>
      </c>
      <c r="K78">
        <f>VLOOKUP($H78,Sheet1!H:$AE,4,FALSE)</f>
        <v>100000</v>
      </c>
      <c r="L78" t="str">
        <f>VLOOKUP($H78,Sheet1!$H:$AE,5,FALSE)</f>
        <v>ETNA</v>
      </c>
      <c r="M78">
        <f>VLOOKUP($H78,Sheet1!$H:$AE,13,FALSE)</f>
        <v>1089</v>
      </c>
      <c r="N78">
        <v>2682.13339899537</v>
      </c>
      <c r="O78">
        <v>1478625.9619939299</v>
      </c>
      <c r="P78">
        <v>16177.141439302</v>
      </c>
      <c r="Q78">
        <v>17110208.773600101</v>
      </c>
      <c r="R78">
        <v>0.35096883909820997</v>
      </c>
      <c r="S78">
        <v>2.7908456857875701E-3</v>
      </c>
      <c r="T78">
        <v>0.22385982210062599</v>
      </c>
      <c r="U78">
        <v>4.1392368634559302E-3</v>
      </c>
      <c r="V78">
        <v>0.99994444341561906</v>
      </c>
      <c r="W78" s="2">
        <v>5.5553497847124103E-5</v>
      </c>
      <c r="X78">
        <v>0.57976736053595401</v>
      </c>
      <c r="Y78">
        <v>0.243637168193402</v>
      </c>
      <c r="Z78">
        <v>9.0332477784697399E-2</v>
      </c>
      <c r="AA78">
        <v>1.02611903384868E-3</v>
      </c>
      <c r="AB78">
        <v>68</v>
      </c>
    </row>
    <row r="79" spans="1:28" x14ac:dyDescent="0.25">
      <c r="A79">
        <v>1203</v>
      </c>
      <c r="B79" s="1">
        <v>45448</v>
      </c>
      <c r="C79" t="s">
        <v>223</v>
      </c>
      <c r="D79">
        <v>4.71</v>
      </c>
      <c r="E79">
        <v>905</v>
      </c>
      <c r="F79" t="s">
        <v>100</v>
      </c>
      <c r="G79" t="s">
        <v>224</v>
      </c>
      <c r="H79">
        <v>7009</v>
      </c>
      <c r="I79">
        <f>VLOOKUP(H79,Sheet1!H:AE,2)</f>
        <v>2</v>
      </c>
      <c r="J79" t="str">
        <f>VLOOKUP(H79,Sheet1!H:T,3,FALSE)</f>
        <v>22"</v>
      </c>
      <c r="K79">
        <f>VLOOKUP($H79,Sheet1!H:$AE,4,FALSE)</f>
        <v>100000</v>
      </c>
      <c r="L79" t="str">
        <f>VLOOKUP($H79,Sheet1!$H:$AE,5,FALSE)</f>
        <v>Cayenne</v>
      </c>
      <c r="M79">
        <f>VLOOKUP($H79,Sheet1!$H:$AE,13,FALSE)</f>
        <v>2726</v>
      </c>
      <c r="N79">
        <v>2613.6580912045702</v>
      </c>
      <c r="O79">
        <v>1354721.27202775</v>
      </c>
      <c r="P79">
        <v>16494.074631242602</v>
      </c>
      <c r="Q79">
        <v>17554691.757476401</v>
      </c>
      <c r="R79">
        <v>0.343610793036213</v>
      </c>
      <c r="S79">
        <v>3.07934171735887E-3</v>
      </c>
      <c r="T79">
        <v>0.22664522425467201</v>
      </c>
      <c r="U79">
        <v>4.1300981264904097E-3</v>
      </c>
      <c r="V79">
        <v>1</v>
      </c>
      <c r="W79">
        <v>0</v>
      </c>
      <c r="X79">
        <v>0.62615145352314805</v>
      </c>
      <c r="Y79">
        <v>0.23408581077457599</v>
      </c>
      <c r="Z79">
        <v>9.3056265944980301E-2</v>
      </c>
      <c r="AA79">
        <v>9.3336123640364304E-4</v>
      </c>
      <c r="AB79">
        <v>71</v>
      </c>
    </row>
    <row r="80" spans="1:28" x14ac:dyDescent="0.25">
      <c r="A80">
        <v>1204</v>
      </c>
      <c r="B80" s="1">
        <v>45448</v>
      </c>
      <c r="C80" t="s">
        <v>225</v>
      </c>
      <c r="D80">
        <v>4.71</v>
      </c>
      <c r="E80">
        <v>905</v>
      </c>
      <c r="F80" t="s">
        <v>103</v>
      </c>
      <c r="G80" t="s">
        <v>226</v>
      </c>
      <c r="H80">
        <v>8009</v>
      </c>
      <c r="I80">
        <f>VLOOKUP(H80,Sheet1!H:AE,2)</f>
        <v>2</v>
      </c>
      <c r="J80" t="str">
        <f>VLOOKUP(H80,Sheet1!H:T,3,FALSE)</f>
        <v>22"</v>
      </c>
      <c r="K80">
        <f>VLOOKUP($H80,Sheet1!H:$AE,4,FALSE)</f>
        <v>100000</v>
      </c>
      <c r="L80" t="str">
        <f>VLOOKUP($H80,Sheet1!$H:$AE,5,FALSE)</f>
        <v>Red Rover</v>
      </c>
      <c r="M80">
        <f>VLOOKUP($H80,Sheet1!$H:$AE,13,FALSE)</f>
        <v>1163</v>
      </c>
      <c r="N80">
        <v>2697.6135033980099</v>
      </c>
      <c r="O80">
        <v>2252523.5886781001</v>
      </c>
      <c r="P80">
        <v>16804.3763019117</v>
      </c>
      <c r="Q80">
        <v>19652211.905896101</v>
      </c>
      <c r="R80">
        <v>0.32144867278169797</v>
      </c>
      <c r="S80">
        <v>3.65303391841544E-3</v>
      </c>
      <c r="T80">
        <v>0.22917213291031199</v>
      </c>
      <c r="U80">
        <v>4.2064860535885699E-3</v>
      </c>
      <c r="V80">
        <v>1</v>
      </c>
      <c r="W80">
        <v>0</v>
      </c>
      <c r="X80">
        <v>0.73881434855428496</v>
      </c>
      <c r="Y80">
        <v>0.19296770692465001</v>
      </c>
      <c r="Z80">
        <v>9.6373351045459299E-2</v>
      </c>
      <c r="AA80">
        <v>9.1612187112057898E-4</v>
      </c>
      <c r="AB80">
        <v>65</v>
      </c>
    </row>
    <row r="81" spans="1:28" x14ac:dyDescent="0.25">
      <c r="A81">
        <v>1205</v>
      </c>
      <c r="B81" s="1">
        <v>45448</v>
      </c>
      <c r="C81" t="s">
        <v>227</v>
      </c>
      <c r="D81">
        <v>4.71</v>
      </c>
      <c r="E81">
        <v>905</v>
      </c>
      <c r="F81" t="s">
        <v>106</v>
      </c>
      <c r="G81">
        <v>5009351830708930</v>
      </c>
      <c r="H81">
        <v>9009</v>
      </c>
      <c r="I81">
        <f>VLOOKUP(H81,Sheet1!H:AE,2)</f>
        <v>2</v>
      </c>
      <c r="J81" t="str">
        <f>VLOOKUP(H81,Sheet1!H:T,3,FALSE)</f>
        <v>22"</v>
      </c>
      <c r="K81">
        <f>VLOOKUP($H81,Sheet1!H:$AE,4,FALSE)</f>
        <v>100000</v>
      </c>
      <c r="L81" t="str">
        <f>VLOOKUP($H81,Sheet1!$H:$AE,5,FALSE)</f>
        <v>Apex</v>
      </c>
      <c r="M81">
        <f>VLOOKUP($H81,Sheet1!$H:$AE,13,FALSE)</f>
        <v>1876</v>
      </c>
      <c r="N81">
        <v>2824.1872352999098</v>
      </c>
      <c r="O81">
        <v>1962483.2785251001</v>
      </c>
      <c r="P81">
        <v>16152.8035289297</v>
      </c>
      <c r="Q81">
        <v>17095845.310910799</v>
      </c>
      <c r="R81">
        <v>0.35609428943719601</v>
      </c>
      <c r="S81">
        <v>2.4898857382072599E-3</v>
      </c>
      <c r="T81">
        <v>0.22878283182697001</v>
      </c>
      <c r="U81">
        <v>3.5898801538709799E-3</v>
      </c>
      <c r="V81">
        <v>0.99972222222222196</v>
      </c>
      <c r="W81">
        <v>2.77700617283395E-4</v>
      </c>
      <c r="X81">
        <v>0.64946669979661797</v>
      </c>
      <c r="Y81">
        <v>0.227659705652035</v>
      </c>
      <c r="Z81">
        <v>0.10209411788841601</v>
      </c>
      <c r="AA81">
        <v>8.5563714117808899E-4</v>
      </c>
      <c r="AB81">
        <v>78</v>
      </c>
    </row>
    <row r="82" spans="1:28" x14ac:dyDescent="0.25">
      <c r="A82">
        <v>1206</v>
      </c>
      <c r="B82" s="1">
        <v>45448</v>
      </c>
      <c r="C82" t="s">
        <v>228</v>
      </c>
      <c r="D82">
        <v>4.71</v>
      </c>
      <c r="E82">
        <v>905</v>
      </c>
      <c r="F82" t="s">
        <v>109</v>
      </c>
      <c r="G82" t="s">
        <v>229</v>
      </c>
      <c r="H82">
        <v>10009</v>
      </c>
      <c r="I82">
        <f>VLOOKUP(H82,Sheet1!H:AE,2)</f>
        <v>3</v>
      </c>
      <c r="J82" t="str">
        <f>VLOOKUP(H82,Sheet1!H:T,3,FALSE)</f>
        <v>22"</v>
      </c>
      <c r="K82">
        <f>VLOOKUP($H82,Sheet1!H:$AE,4,FALSE)</f>
        <v>100000</v>
      </c>
      <c r="L82" t="str">
        <f>VLOOKUP($H82,Sheet1!$H:$AE,5,FALSE)</f>
        <v>Windbreaker</v>
      </c>
      <c r="M82">
        <f>VLOOKUP($H82,Sheet1!$H:$AE,13,FALSE)</f>
        <v>1965</v>
      </c>
      <c r="N82">
        <v>2722.5146113009801</v>
      </c>
      <c r="O82">
        <v>1910094.7973631199</v>
      </c>
      <c r="P82">
        <v>16304.444503987201</v>
      </c>
      <c r="Q82">
        <v>19094756.0203689</v>
      </c>
      <c r="R82">
        <v>0.39470779365004499</v>
      </c>
      <c r="S82">
        <v>2.9269568898518902E-3</v>
      </c>
      <c r="T82">
        <v>0.24547567948822199</v>
      </c>
      <c r="U82">
        <v>4.0228767376500997E-3</v>
      </c>
      <c r="V82">
        <v>1</v>
      </c>
      <c r="W82">
        <v>0</v>
      </c>
      <c r="X82">
        <v>0.59452072443495496</v>
      </c>
      <c r="Y82">
        <v>0.24106583265198001</v>
      </c>
      <c r="Z82">
        <v>7.7678776515304901E-2</v>
      </c>
      <c r="AA82">
        <v>1.12397102936487E-3</v>
      </c>
      <c r="AB82">
        <v>71</v>
      </c>
    </row>
    <row r="83" spans="1:28" x14ac:dyDescent="0.25">
      <c r="A83">
        <v>1207</v>
      </c>
      <c r="B83" s="1">
        <v>45448</v>
      </c>
      <c r="C83" t="s">
        <v>230</v>
      </c>
      <c r="D83">
        <v>4.71</v>
      </c>
      <c r="E83">
        <v>905</v>
      </c>
      <c r="F83" t="s">
        <v>112</v>
      </c>
      <c r="G83" t="s">
        <v>231</v>
      </c>
      <c r="H83">
        <v>11009</v>
      </c>
      <c r="I83">
        <f>VLOOKUP(H83,Sheet1!H:AE,2)</f>
        <v>3</v>
      </c>
      <c r="J83" t="str">
        <f>VLOOKUP(H83,Sheet1!H:T,3,FALSE)</f>
        <v>22"</v>
      </c>
      <c r="K83">
        <f>VLOOKUP($H83,Sheet1!H:$AE,4,FALSE)</f>
        <v>100000</v>
      </c>
      <c r="L83" t="str">
        <f>VLOOKUP($H83,Sheet1!$H:$AE,5,FALSE)</f>
        <v>T9905</v>
      </c>
      <c r="M83">
        <f>VLOOKUP($H83,Sheet1!$H:$AE,13,FALSE)</f>
        <v>1558</v>
      </c>
      <c r="N83">
        <v>2579.99980301389</v>
      </c>
      <c r="O83">
        <v>1147924.35146259</v>
      </c>
      <c r="P83">
        <v>16647.300310024701</v>
      </c>
      <c r="Q83">
        <v>14402247.1719133</v>
      </c>
      <c r="R83">
        <v>0.34870272333767999</v>
      </c>
      <c r="S83">
        <v>2.1971136182217001E-3</v>
      </c>
      <c r="T83">
        <v>0.21790899629996799</v>
      </c>
      <c r="U83">
        <v>2.1655163658729501E-3</v>
      </c>
      <c r="V83">
        <v>0.92440740740740701</v>
      </c>
      <c r="W83">
        <v>6.9878352537605798E-2</v>
      </c>
      <c r="X83">
        <v>0.50121934385496703</v>
      </c>
      <c r="Y83">
        <v>0.24999851320079</v>
      </c>
      <c r="Z83">
        <v>0.13521569368244701</v>
      </c>
      <c r="AA83">
        <v>9.0151645924958703E-4</v>
      </c>
      <c r="AB83">
        <v>41</v>
      </c>
    </row>
    <row r="84" spans="1:28" x14ac:dyDescent="0.25">
      <c r="A84">
        <v>1208</v>
      </c>
      <c r="B84" s="1">
        <v>45448</v>
      </c>
      <c r="C84" t="s">
        <v>232</v>
      </c>
      <c r="D84">
        <v>4.71</v>
      </c>
      <c r="E84">
        <v>905</v>
      </c>
      <c r="F84" t="s">
        <v>115</v>
      </c>
      <c r="G84" t="s">
        <v>233</v>
      </c>
      <c r="H84">
        <v>12009</v>
      </c>
      <c r="I84">
        <f>VLOOKUP(H84,Sheet1!H:AE,2)</f>
        <v>3</v>
      </c>
      <c r="J84" t="str">
        <f>VLOOKUP(H84,Sheet1!H:T,3,FALSE)</f>
        <v>22"</v>
      </c>
      <c r="K84">
        <f>VLOOKUP($H84,Sheet1!H:$AE,4,FALSE)</f>
        <v>100000</v>
      </c>
      <c r="L84" t="str">
        <f>VLOOKUP($H84,Sheet1!$H:$AE,5,FALSE)</f>
        <v>Nautica</v>
      </c>
      <c r="M84">
        <f>VLOOKUP($H84,Sheet1!$H:$AE,13,FALSE)</f>
        <v>1797</v>
      </c>
      <c r="N84">
        <v>2699.5853245346202</v>
      </c>
      <c r="O84">
        <v>1495953.31855937</v>
      </c>
      <c r="P84">
        <v>16672.322157260998</v>
      </c>
      <c r="Q84">
        <v>13747705.3333879</v>
      </c>
      <c r="R84">
        <v>0.34590272615828499</v>
      </c>
      <c r="S84">
        <v>2.3232196112387298E-3</v>
      </c>
      <c r="T84">
        <v>0.21385445341092699</v>
      </c>
      <c r="U84">
        <v>2.9101425673960998E-3</v>
      </c>
      <c r="V84">
        <v>0.99942593655672995</v>
      </c>
      <c r="W84">
        <v>5.7373389443214401E-4</v>
      </c>
      <c r="X84">
        <v>0.43499226974895</v>
      </c>
      <c r="Y84">
        <v>0.24577399500765801</v>
      </c>
      <c r="Z84">
        <v>0.116475845461096</v>
      </c>
      <c r="AA84">
        <v>8.8454664812347703E-4</v>
      </c>
      <c r="AB84">
        <v>63</v>
      </c>
    </row>
    <row r="85" spans="1:28" x14ac:dyDescent="0.25">
      <c r="A85">
        <v>1209</v>
      </c>
      <c r="B85" s="1">
        <v>45448</v>
      </c>
      <c r="C85" t="s">
        <v>234</v>
      </c>
      <c r="D85">
        <v>4.71</v>
      </c>
      <c r="E85">
        <v>905</v>
      </c>
      <c r="F85" t="s">
        <v>118</v>
      </c>
      <c r="G85" t="s">
        <v>235</v>
      </c>
      <c r="H85">
        <v>13009</v>
      </c>
      <c r="I85">
        <f>VLOOKUP(H85,Sheet1!H:AE,2)</f>
        <v>3</v>
      </c>
      <c r="J85" t="str">
        <f>VLOOKUP(H85,Sheet1!H:T,3,FALSE)</f>
        <v>22"</v>
      </c>
      <c r="K85">
        <f>VLOOKUP($H85,Sheet1!H:$AE,4,FALSE)</f>
        <v>100000</v>
      </c>
      <c r="L85" t="str">
        <f>VLOOKUP($H85,Sheet1!$H:$AE,5,FALSE)</f>
        <v>Zorro</v>
      </c>
      <c r="M85">
        <f>VLOOKUP($H85,Sheet1!$H:$AE,13,FALSE)</f>
        <v>1891</v>
      </c>
      <c r="N85">
        <v>2507.2926060534401</v>
      </c>
      <c r="O85">
        <v>1331818.29573086</v>
      </c>
      <c r="P85">
        <v>16499.3349866647</v>
      </c>
      <c r="Q85">
        <v>15968130.2938051</v>
      </c>
      <c r="R85">
        <v>0.35759408073550703</v>
      </c>
      <c r="S85">
        <v>2.6581701362638102E-3</v>
      </c>
      <c r="T85">
        <v>0.22721251590248201</v>
      </c>
      <c r="U85">
        <v>2.6885739312984E-3</v>
      </c>
      <c r="V85">
        <v>0.87313432835820903</v>
      </c>
      <c r="W85">
        <v>0.110770773000833</v>
      </c>
      <c r="X85">
        <v>0.42179706623967</v>
      </c>
      <c r="Y85">
        <v>0.243884301151193</v>
      </c>
      <c r="Z85">
        <v>0.101541433721954</v>
      </c>
      <c r="AA85">
        <v>8.1137284474565199E-4</v>
      </c>
      <c r="AB85">
        <v>48</v>
      </c>
    </row>
    <row r="86" spans="1:28" x14ac:dyDescent="0.25">
      <c r="A86">
        <v>1210</v>
      </c>
      <c r="B86" s="1">
        <v>45448</v>
      </c>
      <c r="C86" t="s">
        <v>236</v>
      </c>
      <c r="D86">
        <v>4.71</v>
      </c>
      <c r="E86">
        <v>905</v>
      </c>
      <c r="F86" t="s">
        <v>121</v>
      </c>
      <c r="G86" t="s">
        <v>237</v>
      </c>
      <c r="H86">
        <v>14009</v>
      </c>
      <c r="I86">
        <f>VLOOKUP(H86,Sheet1!H:AE,2)</f>
        <v>3</v>
      </c>
      <c r="J86" t="str">
        <f>VLOOKUP(H86,Sheet1!H:T,3,FALSE)</f>
        <v>22"</v>
      </c>
      <c r="K86">
        <f>VLOOKUP($H86,Sheet1!H:$AE,4,FALSE)</f>
        <v>100000</v>
      </c>
      <c r="L86" t="str">
        <f>VLOOKUP($H86,Sheet1!$H:$AE,5,FALSE)</f>
        <v>Eclipse</v>
      </c>
      <c r="M86">
        <f>VLOOKUP($H86,Sheet1!$H:$AE,13,FALSE)</f>
        <v>2304</v>
      </c>
      <c r="N86">
        <v>2439.3216519418102</v>
      </c>
      <c r="O86">
        <v>1171532.4379912401</v>
      </c>
      <c r="P86">
        <v>15852.923661243</v>
      </c>
      <c r="Q86">
        <v>16657961.0520229</v>
      </c>
      <c r="R86">
        <v>0.38582737351280699</v>
      </c>
      <c r="S86">
        <v>2.7849386861481E-3</v>
      </c>
      <c r="T86">
        <v>0.26033983653868997</v>
      </c>
      <c r="U86">
        <v>3.11389860968255E-3</v>
      </c>
      <c r="V86">
        <v>1</v>
      </c>
      <c r="W86">
        <v>0</v>
      </c>
      <c r="X86">
        <v>0.49119319750427898</v>
      </c>
      <c r="Y86">
        <v>0.249922440229398</v>
      </c>
      <c r="Z86">
        <v>0.100795516765079</v>
      </c>
      <c r="AA86">
        <v>1.1483676572164199E-3</v>
      </c>
      <c r="AB86">
        <v>88</v>
      </c>
    </row>
    <row r="87" spans="1:28" x14ac:dyDescent="0.25">
      <c r="A87">
        <v>1211</v>
      </c>
      <c r="B87" s="1">
        <v>45448</v>
      </c>
      <c r="C87" t="s">
        <v>238</v>
      </c>
      <c r="D87">
        <v>4.71</v>
      </c>
      <c r="E87">
        <v>905</v>
      </c>
      <c r="F87" t="s">
        <v>124</v>
      </c>
      <c r="G87" t="s">
        <v>239</v>
      </c>
      <c r="H87">
        <v>15009</v>
      </c>
      <c r="I87">
        <f>VLOOKUP(H87,Sheet1!H:AE,2)</f>
        <v>3</v>
      </c>
      <c r="J87" t="str">
        <f>VLOOKUP(H87,Sheet1!H:T,3,FALSE)</f>
        <v>22"</v>
      </c>
      <c r="K87">
        <f>VLOOKUP($H87,Sheet1!H:$AE,4,FALSE)</f>
        <v>100000</v>
      </c>
      <c r="L87" t="str">
        <f>VLOOKUP($H87,Sheet1!$H:$AE,5,FALSE)</f>
        <v>Red Dawn</v>
      </c>
      <c r="M87">
        <f>VLOOKUP($H87,Sheet1!$H:$AE,13,FALSE)</f>
        <v>724</v>
      </c>
      <c r="N87">
        <v>2365.9883976322499</v>
      </c>
      <c r="O87">
        <v>1715004.0401880201</v>
      </c>
      <c r="P87">
        <v>15601.513218447701</v>
      </c>
      <c r="Q87">
        <v>17937417.5037359</v>
      </c>
      <c r="R87">
        <v>0.37941679118793697</v>
      </c>
      <c r="S87">
        <v>2.57617333773735E-3</v>
      </c>
      <c r="T87">
        <v>0.250652411212756</v>
      </c>
      <c r="U87">
        <v>3.4124673539716599E-3</v>
      </c>
      <c r="V87">
        <v>1</v>
      </c>
      <c r="W87">
        <v>0</v>
      </c>
      <c r="X87">
        <v>0.58772535269594905</v>
      </c>
      <c r="Y87">
        <v>0.242304262494559</v>
      </c>
      <c r="Z87">
        <v>8.4192931908469798E-2</v>
      </c>
      <c r="AA87">
        <v>2.9695728572760498E-3</v>
      </c>
      <c r="AB87">
        <v>59</v>
      </c>
    </row>
    <row r="88" spans="1:28" x14ac:dyDescent="0.25">
      <c r="A88">
        <v>1212</v>
      </c>
      <c r="B88" s="1">
        <v>45448</v>
      </c>
      <c r="C88" t="s">
        <v>240</v>
      </c>
      <c r="D88">
        <v>4.71</v>
      </c>
      <c r="E88">
        <v>905</v>
      </c>
      <c r="F88" t="s">
        <v>82</v>
      </c>
      <c r="G88" t="s">
        <v>241</v>
      </c>
      <c r="H88">
        <v>1013</v>
      </c>
      <c r="I88">
        <f>VLOOKUP(H88,Sheet1!H:AE,2)</f>
        <v>1</v>
      </c>
      <c r="J88" t="str">
        <f>VLOOKUP(H88,Sheet1!H:T,3,FALSE)</f>
        <v>22"</v>
      </c>
      <c r="K88">
        <f>VLOOKUP($H88,Sheet1!H:$AE,4,FALSE)</f>
        <v>150000</v>
      </c>
      <c r="L88" t="str">
        <f>VLOOKUP($H88,Sheet1!$H:$AE,5,FALSE)</f>
        <v>Red Rover</v>
      </c>
      <c r="M88">
        <f>VLOOKUP($H88,Sheet1!$H:$AE,13,FALSE)</f>
        <v>581</v>
      </c>
      <c r="N88">
        <v>2408.68749753772</v>
      </c>
      <c r="O88">
        <v>2199916.2963165301</v>
      </c>
      <c r="P88">
        <v>15835.3237164026</v>
      </c>
      <c r="Q88">
        <v>21501595.305189501</v>
      </c>
      <c r="R88">
        <v>0.384206889162374</v>
      </c>
      <c r="S88">
        <v>3.89229832129822E-3</v>
      </c>
      <c r="T88">
        <v>0.24483594630373401</v>
      </c>
      <c r="U88">
        <v>6.7094168178817304E-3</v>
      </c>
      <c r="V88">
        <v>0.99994444444444397</v>
      </c>
      <c r="W88" s="2">
        <v>5.5552469135802498E-5</v>
      </c>
      <c r="X88">
        <v>0.54471499825152303</v>
      </c>
      <c r="Y88">
        <v>0.24800056893172601</v>
      </c>
      <c r="Z88">
        <v>0</v>
      </c>
      <c r="AA88">
        <v>0</v>
      </c>
      <c r="AB88">
        <v>77</v>
      </c>
    </row>
    <row r="89" spans="1:28" x14ac:dyDescent="0.25">
      <c r="A89">
        <v>1213</v>
      </c>
      <c r="B89" s="1">
        <v>45448</v>
      </c>
      <c r="C89" t="s">
        <v>242</v>
      </c>
      <c r="D89">
        <v>4.71</v>
      </c>
      <c r="E89">
        <v>905</v>
      </c>
      <c r="F89" t="s">
        <v>85</v>
      </c>
      <c r="G89" t="s">
        <v>243</v>
      </c>
      <c r="H89">
        <v>2013</v>
      </c>
      <c r="I89">
        <f>VLOOKUP(H89,Sheet1!H:AE,2)</f>
        <v>1</v>
      </c>
      <c r="J89" t="str">
        <f>VLOOKUP(H89,Sheet1!H:T,3,FALSE)</f>
        <v>22"</v>
      </c>
      <c r="K89">
        <f>VLOOKUP($H89,Sheet1!H:$AE,4,FALSE)</f>
        <v>150000</v>
      </c>
      <c r="L89" t="str">
        <f>VLOOKUP($H89,Sheet1!$H:$AE,5,FALSE)</f>
        <v>Zorro</v>
      </c>
      <c r="M89">
        <f>VLOOKUP($H89,Sheet1!$H:$AE,13,FALSE)</f>
        <v>1967</v>
      </c>
      <c r="N89">
        <v>2578.46274007682</v>
      </c>
      <c r="O89">
        <v>2228329.7139125899</v>
      </c>
      <c r="P89">
        <v>15908.514524325101</v>
      </c>
      <c r="Q89">
        <v>16704657.5869521</v>
      </c>
      <c r="R89">
        <v>0.356247648417581</v>
      </c>
      <c r="S89">
        <v>2.9483156073972401E-3</v>
      </c>
      <c r="T89">
        <v>0.23091100686882199</v>
      </c>
      <c r="U89">
        <v>5.19966101265271E-3</v>
      </c>
      <c r="V89">
        <v>0.99629622770792003</v>
      </c>
      <c r="W89">
        <v>3.6900543628879401E-3</v>
      </c>
      <c r="X89">
        <v>0.59284241911142199</v>
      </c>
      <c r="Y89">
        <v>0.241380285213636</v>
      </c>
      <c r="Z89">
        <v>0.10455132394219099</v>
      </c>
      <c r="AA89">
        <v>9.9505154427514996E-4</v>
      </c>
      <c r="AB89">
        <v>69</v>
      </c>
    </row>
    <row r="90" spans="1:28" x14ac:dyDescent="0.25">
      <c r="A90">
        <v>1214</v>
      </c>
      <c r="B90" s="1">
        <v>45448</v>
      </c>
      <c r="C90" t="s">
        <v>244</v>
      </c>
      <c r="D90">
        <v>4.71</v>
      </c>
      <c r="E90">
        <v>905</v>
      </c>
      <c r="F90" t="s">
        <v>88</v>
      </c>
      <c r="G90" t="s">
        <v>245</v>
      </c>
      <c r="H90">
        <v>3013</v>
      </c>
      <c r="I90">
        <f>VLOOKUP(H90,Sheet1!H:AE,2)</f>
        <v>1</v>
      </c>
      <c r="J90" t="str">
        <f>VLOOKUP(H90,Sheet1!H:T,3,FALSE)</f>
        <v>22"</v>
      </c>
      <c r="K90">
        <f>VLOOKUP($H90,Sheet1!H:$AE,4,FALSE)</f>
        <v>150000</v>
      </c>
      <c r="L90" t="str">
        <f>VLOOKUP($H90,Sheet1!$H:$AE,5,FALSE)</f>
        <v>Apex</v>
      </c>
      <c r="M90">
        <f>VLOOKUP($H90,Sheet1!$H:$AE,13,FALSE)</f>
        <v>2729</v>
      </c>
      <c r="N90">
        <v>2881.94838862186</v>
      </c>
      <c r="O90">
        <v>2677962.7384716999</v>
      </c>
      <c r="P90">
        <v>15778.6792832965</v>
      </c>
      <c r="Q90">
        <v>15868350.899597101</v>
      </c>
      <c r="R90">
        <v>0.35236681002834602</v>
      </c>
      <c r="S90">
        <v>2.9668417240846798E-3</v>
      </c>
      <c r="T90">
        <v>0.23384969580619799</v>
      </c>
      <c r="U90">
        <v>6.1697759376025197E-3</v>
      </c>
      <c r="V90">
        <v>0.99279629629629595</v>
      </c>
      <c r="W90">
        <v>7.1518103566537298E-3</v>
      </c>
      <c r="X90">
        <v>0.76076013435788803</v>
      </c>
      <c r="Y90">
        <v>0.182004152329999</v>
      </c>
      <c r="Z90">
        <v>9.4957034091235501E-2</v>
      </c>
      <c r="AA90">
        <v>8.4252624967331795E-4</v>
      </c>
      <c r="AB90">
        <v>78</v>
      </c>
    </row>
    <row r="91" spans="1:28" x14ac:dyDescent="0.25">
      <c r="A91">
        <v>1215</v>
      </c>
      <c r="B91" s="1">
        <v>45448</v>
      </c>
      <c r="C91" t="s">
        <v>246</v>
      </c>
      <c r="D91">
        <v>4.71</v>
      </c>
      <c r="E91">
        <v>905</v>
      </c>
      <c r="F91" t="s">
        <v>91</v>
      </c>
      <c r="G91" t="s">
        <v>247</v>
      </c>
      <c r="H91">
        <v>4013</v>
      </c>
      <c r="I91">
        <f>VLOOKUP(H91,Sheet1!H:AE,2)</f>
        <v>1</v>
      </c>
      <c r="J91" t="str">
        <f>VLOOKUP(H91,Sheet1!H:T,3,FALSE)</f>
        <v>22"</v>
      </c>
      <c r="K91">
        <f>VLOOKUP($H91,Sheet1!H:$AE,4,FALSE)</f>
        <v>150000</v>
      </c>
      <c r="L91" t="str">
        <f>VLOOKUP($H91,Sheet1!$H:$AE,5,FALSE)</f>
        <v>Merlot</v>
      </c>
      <c r="M91">
        <f>VLOOKUP($H91,Sheet1!$H:$AE,13,FALSE)</f>
        <v>1973</v>
      </c>
      <c r="N91">
        <v>2695.2886043533899</v>
      </c>
      <c r="O91">
        <v>1010818.64468944</v>
      </c>
      <c r="P91">
        <v>16844.588799540899</v>
      </c>
      <c r="Q91">
        <v>14467334.889359299</v>
      </c>
      <c r="R91">
        <v>0.35517836444789502</v>
      </c>
      <c r="S91">
        <v>2.2290723203999899E-3</v>
      </c>
      <c r="T91">
        <v>0.22485857806472401</v>
      </c>
      <c r="U91">
        <v>2.2737086544115399E-3</v>
      </c>
      <c r="V91">
        <v>0.91457091003370505</v>
      </c>
      <c r="W91">
        <v>7.8130960553804696E-2</v>
      </c>
      <c r="X91">
        <v>0.59084174588421501</v>
      </c>
      <c r="Y91">
        <v>0.241747777204876</v>
      </c>
      <c r="Z91">
        <v>9.0307155243878806E-2</v>
      </c>
      <c r="AA91">
        <v>9.5910824056944801E-4</v>
      </c>
      <c r="AB91">
        <v>44</v>
      </c>
    </row>
    <row r="92" spans="1:28" x14ac:dyDescent="0.25">
      <c r="A92">
        <v>1216</v>
      </c>
      <c r="B92" s="1">
        <v>45448</v>
      </c>
      <c r="C92" t="s">
        <v>248</v>
      </c>
      <c r="D92">
        <v>4.71</v>
      </c>
      <c r="E92">
        <v>905</v>
      </c>
      <c r="F92" t="s">
        <v>94</v>
      </c>
      <c r="G92" t="s">
        <v>249</v>
      </c>
      <c r="H92">
        <v>5013</v>
      </c>
      <c r="I92">
        <f>VLOOKUP(H92,Sheet1!H:AE,2)</f>
        <v>2</v>
      </c>
      <c r="J92" t="str">
        <f>VLOOKUP(H92,Sheet1!H:T,3,FALSE)</f>
        <v>22"</v>
      </c>
      <c r="K92">
        <f>VLOOKUP($H92,Sheet1!H:$AE,4,FALSE)</f>
        <v>150000</v>
      </c>
      <c r="L92" t="str">
        <f>VLOOKUP($H92,Sheet1!$H:$AE,5,FALSE)</f>
        <v>Red Dawn</v>
      </c>
      <c r="M92">
        <f>VLOOKUP($H92,Sheet1!$H:$AE,13,FALSE)</f>
        <v>580</v>
      </c>
      <c r="N92">
        <v>2917.3852358908698</v>
      </c>
      <c r="O92">
        <v>3029015.9150917898</v>
      </c>
      <c r="P92">
        <v>16225.6832395172</v>
      </c>
      <c r="Q92">
        <v>20018446.321919799</v>
      </c>
      <c r="R92">
        <v>0.37166829978890598</v>
      </c>
      <c r="S92">
        <v>3.3586343894537801E-3</v>
      </c>
      <c r="T92">
        <v>0.247407051361311</v>
      </c>
      <c r="U92">
        <v>6.4326427782592102E-3</v>
      </c>
      <c r="V92">
        <v>0.99727787859708905</v>
      </c>
      <c r="W92">
        <v>2.7147114579786002E-3</v>
      </c>
      <c r="X92">
        <v>0.63379776190826698</v>
      </c>
      <c r="Y92">
        <v>0.23209815890872901</v>
      </c>
      <c r="Z92">
        <v>8.5872909838574096E-2</v>
      </c>
      <c r="AA92">
        <v>8.7433742098954204E-4</v>
      </c>
      <c r="AB92">
        <v>74</v>
      </c>
    </row>
    <row r="93" spans="1:28" x14ac:dyDescent="0.25">
      <c r="A93">
        <v>1217</v>
      </c>
      <c r="B93" s="1">
        <v>45448</v>
      </c>
      <c r="C93" t="s">
        <v>250</v>
      </c>
      <c r="D93">
        <v>4.71</v>
      </c>
      <c r="E93">
        <v>905</v>
      </c>
      <c r="F93" t="s">
        <v>97</v>
      </c>
      <c r="G93" t="s">
        <v>251</v>
      </c>
      <c r="H93">
        <v>6013</v>
      </c>
      <c r="I93">
        <f>VLOOKUP(H93,Sheet1!H:AE,2)</f>
        <v>2</v>
      </c>
      <c r="J93" t="str">
        <f>VLOOKUP(H93,Sheet1!H:T,3,FALSE)</f>
        <v>22"</v>
      </c>
      <c r="K93">
        <f>VLOOKUP($H93,Sheet1!H:$AE,4,FALSE)</f>
        <v>150000</v>
      </c>
      <c r="L93" t="str">
        <f>VLOOKUP($H93,Sheet1!$H:$AE,5,FALSE)</f>
        <v>Redhawk</v>
      </c>
      <c r="M93">
        <f>VLOOKUP($H93,Sheet1!$H:$AE,13,FALSE)</f>
        <v>742</v>
      </c>
      <c r="N93">
        <v>2720.4754658629799</v>
      </c>
      <c r="O93">
        <v>1508716.9210089999</v>
      </c>
      <c r="P93">
        <v>16778.557367244699</v>
      </c>
      <c r="Q93">
        <v>15098144.755975099</v>
      </c>
      <c r="R93">
        <v>0.34835977152740399</v>
      </c>
      <c r="S93">
        <v>2.2807588607471601E-3</v>
      </c>
      <c r="T93">
        <v>0.22013033662411199</v>
      </c>
      <c r="U93">
        <v>2.7265554961383499E-3</v>
      </c>
      <c r="V93">
        <v>0.99509259259259297</v>
      </c>
      <c r="W93">
        <v>4.8833247599449001E-3</v>
      </c>
      <c r="X93">
        <v>0.65779229742787404</v>
      </c>
      <c r="Y93">
        <v>0.22510159087210099</v>
      </c>
      <c r="Z93">
        <v>9.0332477784697399E-2</v>
      </c>
      <c r="AA93">
        <v>1.02611903384868E-3</v>
      </c>
      <c r="AB93">
        <v>57</v>
      </c>
    </row>
    <row r="94" spans="1:28" x14ac:dyDescent="0.25">
      <c r="A94">
        <v>1218</v>
      </c>
      <c r="B94" s="1">
        <v>45448</v>
      </c>
      <c r="C94" t="s">
        <v>252</v>
      </c>
      <c r="D94">
        <v>4.71</v>
      </c>
      <c r="E94">
        <v>905</v>
      </c>
      <c r="F94" t="s">
        <v>100</v>
      </c>
      <c r="G94" t="s">
        <v>253</v>
      </c>
      <c r="H94">
        <v>7013</v>
      </c>
      <c r="I94">
        <f>VLOOKUP(H94,Sheet1!H:AE,2)</f>
        <v>2</v>
      </c>
      <c r="J94" t="str">
        <f>VLOOKUP(H94,Sheet1!H:T,3,FALSE)</f>
        <v>22"</v>
      </c>
      <c r="K94">
        <f>VLOOKUP($H94,Sheet1!H:$AE,4,FALSE)</f>
        <v>150000</v>
      </c>
      <c r="L94" t="str">
        <f>VLOOKUP($H94,Sheet1!$H:$AE,5,FALSE)</f>
        <v>CLERK</v>
      </c>
      <c r="M94">
        <f>VLOOKUP($H94,Sheet1!$H:$AE,13,FALSE)</f>
        <v>1203</v>
      </c>
      <c r="N94">
        <v>2881.05749096317</v>
      </c>
      <c r="O94">
        <v>2516717.5001765601</v>
      </c>
      <c r="P94">
        <v>16224.801973383201</v>
      </c>
      <c r="Q94">
        <v>20950584.020392299</v>
      </c>
      <c r="R94">
        <v>0.36546951674709599</v>
      </c>
      <c r="S94">
        <v>3.3775935449825499E-3</v>
      </c>
      <c r="T94">
        <v>0.24404395497878101</v>
      </c>
      <c r="U94">
        <v>5.4739616966924098E-3</v>
      </c>
      <c r="V94">
        <v>0.99874071742069304</v>
      </c>
      <c r="W94">
        <v>1.25769678669242E-3</v>
      </c>
      <c r="X94">
        <v>0.78227580177610001</v>
      </c>
      <c r="Y94">
        <v>0.170320371731707</v>
      </c>
      <c r="Z94">
        <v>9.3056265944980301E-2</v>
      </c>
      <c r="AA94">
        <v>9.3336123640364304E-4</v>
      </c>
      <c r="AB94">
        <v>78</v>
      </c>
    </row>
    <row r="95" spans="1:28" x14ac:dyDescent="0.25">
      <c r="A95">
        <v>1219</v>
      </c>
      <c r="B95" s="1">
        <v>45448</v>
      </c>
      <c r="C95" t="s">
        <v>254</v>
      </c>
      <c r="D95">
        <v>4.71</v>
      </c>
      <c r="E95">
        <v>905</v>
      </c>
      <c r="F95" t="s">
        <v>103</v>
      </c>
      <c r="G95" t="s">
        <v>255</v>
      </c>
      <c r="H95">
        <v>8013</v>
      </c>
      <c r="I95">
        <f>VLOOKUP(H95,Sheet1!H:AE,2)</f>
        <v>2</v>
      </c>
      <c r="J95" t="str">
        <f>VLOOKUP(H95,Sheet1!H:T,3,FALSE)</f>
        <v>22"</v>
      </c>
      <c r="K95">
        <f>VLOOKUP($H95,Sheet1!H:$AE,4,FALSE)</f>
        <v>150000</v>
      </c>
      <c r="L95" t="str">
        <f>VLOOKUP($H95,Sheet1!$H:$AE,5,FALSE)</f>
        <v>Ronnies red</v>
      </c>
      <c r="M95">
        <f>VLOOKUP($H95,Sheet1!$H:$AE,13,FALSE)</f>
        <v>1041</v>
      </c>
      <c r="N95">
        <v>2869.8709150004902</v>
      </c>
      <c r="O95">
        <v>2934658.3017060901</v>
      </c>
      <c r="P95">
        <v>16394.504938956401</v>
      </c>
      <c r="Q95">
        <v>22117944.422577199</v>
      </c>
      <c r="R95">
        <v>0.33834237825992503</v>
      </c>
      <c r="S95">
        <v>2.8501362058202199E-3</v>
      </c>
      <c r="T95">
        <v>0.231247532110367</v>
      </c>
      <c r="U95">
        <v>5.2487889071083302E-3</v>
      </c>
      <c r="V95">
        <v>0.99050035183882101</v>
      </c>
      <c r="W95">
        <v>9.4094048459927408E-3</v>
      </c>
      <c r="X95">
        <v>0.78149760276808899</v>
      </c>
      <c r="Y95">
        <v>0.170759099636109</v>
      </c>
      <c r="Z95">
        <v>9.6373351045459299E-2</v>
      </c>
      <c r="AA95">
        <v>9.1612187112057898E-4</v>
      </c>
      <c r="AB95">
        <v>69</v>
      </c>
    </row>
    <row r="96" spans="1:28" x14ac:dyDescent="0.25">
      <c r="A96">
        <v>1220</v>
      </c>
      <c r="B96" s="1">
        <v>45448</v>
      </c>
      <c r="C96" t="s">
        <v>256</v>
      </c>
      <c r="D96">
        <v>4.71</v>
      </c>
      <c r="E96">
        <v>905</v>
      </c>
      <c r="F96" t="s">
        <v>106</v>
      </c>
      <c r="G96" t="s">
        <v>257</v>
      </c>
      <c r="H96">
        <v>9013</v>
      </c>
      <c r="I96">
        <f>VLOOKUP(H96,Sheet1!H:AE,2)</f>
        <v>3</v>
      </c>
      <c r="J96" t="str">
        <f>VLOOKUP(H96,Sheet1!H:T,3,FALSE)</f>
        <v>22"</v>
      </c>
      <c r="K96">
        <f>VLOOKUP($H96,Sheet1!H:$AE,4,FALSE)</f>
        <v>150000</v>
      </c>
      <c r="L96" t="str">
        <f>VLOOKUP($H96,Sheet1!$H:$AE,5,FALSE)</f>
        <v>Cayenne</v>
      </c>
      <c r="M96">
        <f>VLOOKUP($H96,Sheet1!$H:$AE,13,FALSE)</f>
        <v>2973</v>
      </c>
      <c r="N96">
        <v>2652.9759085984401</v>
      </c>
      <c r="O96">
        <v>1572126.64023513</v>
      </c>
      <c r="P96">
        <v>16195.178450232699</v>
      </c>
      <c r="Q96">
        <v>19482984.149204001</v>
      </c>
      <c r="R96">
        <v>0.35704281394606802</v>
      </c>
      <c r="S96">
        <v>3.4289516194775499E-3</v>
      </c>
      <c r="T96">
        <v>0.23298842968925501</v>
      </c>
      <c r="U96">
        <v>5.0009695785296297E-3</v>
      </c>
      <c r="V96">
        <v>0.85951851851851901</v>
      </c>
      <c r="W96">
        <v>0.1207464348425</v>
      </c>
      <c r="X96">
        <v>0.72476625193256194</v>
      </c>
      <c r="Y96">
        <v>0.199480131991847</v>
      </c>
      <c r="Z96">
        <v>0.10209411788841601</v>
      </c>
      <c r="AA96">
        <v>8.5563714117808899E-4</v>
      </c>
      <c r="AB96">
        <v>68</v>
      </c>
    </row>
    <row r="97" spans="1:28" x14ac:dyDescent="0.25">
      <c r="A97">
        <v>1221</v>
      </c>
      <c r="B97" s="1">
        <v>45448</v>
      </c>
      <c r="C97" t="s">
        <v>258</v>
      </c>
      <c r="D97">
        <v>4.71</v>
      </c>
      <c r="E97">
        <v>905</v>
      </c>
      <c r="F97" t="s">
        <v>109</v>
      </c>
      <c r="G97" t="s">
        <v>259</v>
      </c>
      <c r="H97">
        <v>10013</v>
      </c>
      <c r="I97">
        <f>VLOOKUP(H97,Sheet1!H:AE,2)</f>
        <v>3</v>
      </c>
      <c r="J97" t="str">
        <f>VLOOKUP(H97,Sheet1!H:T,3,FALSE)</f>
        <v>22"</v>
      </c>
      <c r="K97">
        <f>VLOOKUP($H97,Sheet1!H:$AE,4,FALSE)</f>
        <v>150000</v>
      </c>
      <c r="L97" t="str">
        <f>VLOOKUP($H97,Sheet1!$H:$AE,5,FALSE)</f>
        <v>black bear</v>
      </c>
      <c r="M97">
        <f>VLOOKUP($H97,Sheet1!$H:$AE,13,FALSE)</f>
        <v>2806</v>
      </c>
      <c r="N97">
        <v>2510.3684070561098</v>
      </c>
      <c r="O97">
        <v>1850056.91016463</v>
      </c>
      <c r="P97">
        <v>15906.576925904399</v>
      </c>
      <c r="Q97">
        <v>22020921.180423301</v>
      </c>
      <c r="R97">
        <v>0.38778283356419402</v>
      </c>
      <c r="S97">
        <v>3.8112200157301799E-3</v>
      </c>
      <c r="T97">
        <v>0.26105155137629099</v>
      </c>
      <c r="U97">
        <v>5.6146687763977098E-3</v>
      </c>
      <c r="V97">
        <v>0.99953704561026602</v>
      </c>
      <c r="W97">
        <v>4.6274006296655201E-4</v>
      </c>
      <c r="X97">
        <v>0.66793970404181702</v>
      </c>
      <c r="Y97">
        <v>0.22179625580614901</v>
      </c>
      <c r="Z97">
        <v>7.7678776515304901E-2</v>
      </c>
      <c r="AA97">
        <v>1.12397102936487E-3</v>
      </c>
      <c r="AB97">
        <v>98</v>
      </c>
    </row>
    <row r="98" spans="1:28" x14ac:dyDescent="0.25">
      <c r="A98">
        <v>1222</v>
      </c>
      <c r="B98" s="1">
        <v>45448</v>
      </c>
      <c r="C98" t="s">
        <v>260</v>
      </c>
      <c r="D98">
        <v>4.71</v>
      </c>
      <c r="E98">
        <v>905</v>
      </c>
      <c r="F98" t="s">
        <v>112</v>
      </c>
      <c r="G98" t="s">
        <v>261</v>
      </c>
      <c r="H98">
        <v>11013</v>
      </c>
      <c r="I98">
        <f>VLOOKUP(H98,Sheet1!H:AE,2)</f>
        <v>3</v>
      </c>
      <c r="J98" t="str">
        <f>VLOOKUP(H98,Sheet1!H:T,3,FALSE)</f>
        <v>22"</v>
      </c>
      <c r="K98">
        <f>VLOOKUP($H98,Sheet1!H:$AE,4,FALSE)</f>
        <v>150000</v>
      </c>
      <c r="L98" t="str">
        <f>VLOOKUP($H98,Sheet1!$H:$AE,5,FALSE)</f>
        <v>T9905</v>
      </c>
      <c r="M98">
        <f>VLOOKUP($H98,Sheet1!$H:$AE,13,FALSE)</f>
        <v>2934</v>
      </c>
      <c r="N98">
        <v>2649.30010538653</v>
      </c>
      <c r="O98">
        <v>1492329.48049159</v>
      </c>
      <c r="P98">
        <v>16869.657627393499</v>
      </c>
      <c r="Q98">
        <v>16471021.6294982</v>
      </c>
      <c r="R98">
        <v>0.35898607523207599</v>
      </c>
      <c r="S98">
        <v>2.39938881726282E-3</v>
      </c>
      <c r="T98">
        <v>0.22486188799961701</v>
      </c>
      <c r="U98">
        <v>2.7660114801989202E-3</v>
      </c>
      <c r="V98">
        <v>0.99616673765300601</v>
      </c>
      <c r="W98">
        <v>3.8185684467726298E-3</v>
      </c>
      <c r="X98">
        <v>0.68451614090624602</v>
      </c>
      <c r="Y98">
        <v>0.215953793744875</v>
      </c>
      <c r="Z98">
        <v>0.116475845461096</v>
      </c>
      <c r="AA98">
        <v>8.8454664812347703E-4</v>
      </c>
      <c r="AB98">
        <v>63</v>
      </c>
    </row>
    <row r="99" spans="1:28" x14ac:dyDescent="0.25">
      <c r="A99">
        <v>1223</v>
      </c>
      <c r="B99" s="1">
        <v>45448</v>
      </c>
      <c r="C99" t="s">
        <v>262</v>
      </c>
      <c r="D99">
        <v>4.71</v>
      </c>
      <c r="E99">
        <v>905</v>
      </c>
      <c r="F99" t="s">
        <v>115</v>
      </c>
      <c r="G99" t="s">
        <v>263</v>
      </c>
      <c r="H99">
        <v>12013</v>
      </c>
      <c r="I99">
        <f>VLOOKUP(H99,Sheet1!H:AE,2)</f>
        <v>3</v>
      </c>
      <c r="J99" t="str">
        <f>VLOOKUP(H99,Sheet1!H:T,3,FALSE)</f>
        <v>22"</v>
      </c>
      <c r="K99">
        <f>VLOOKUP($H99,Sheet1!H:$AE,4,FALSE)</f>
        <v>150000</v>
      </c>
      <c r="L99" t="str">
        <f>VLOOKUP($H99,Sheet1!$H:$AE,5,FALSE)</f>
        <v>Nautica</v>
      </c>
      <c r="M99">
        <f>VLOOKUP($H99,Sheet1!$H:$AE,13,FALSE)</f>
        <v>1925</v>
      </c>
      <c r="N99">
        <v>2928.95421102914</v>
      </c>
      <c r="O99">
        <v>3291641.6367821302</v>
      </c>
      <c r="P99">
        <v>16531.097755614101</v>
      </c>
      <c r="Q99">
        <v>17723209.050883699</v>
      </c>
      <c r="R99">
        <v>0.36438859690478798</v>
      </c>
      <c r="S99">
        <v>3.07619908589629E-3</v>
      </c>
      <c r="T99">
        <v>0.23254649652888201</v>
      </c>
      <c r="U99">
        <v>5.4365689753495001E-3</v>
      </c>
      <c r="V99">
        <v>0.99498166734565396</v>
      </c>
      <c r="W99">
        <v>4.9931489917277002E-3</v>
      </c>
      <c r="X99">
        <v>0.537067712071853</v>
      </c>
      <c r="Y99">
        <v>0.24862598472151001</v>
      </c>
      <c r="Z99">
        <v>0.101541433721954</v>
      </c>
      <c r="AA99">
        <v>8.1137284474565199E-4</v>
      </c>
      <c r="AB99">
        <v>80</v>
      </c>
    </row>
    <row r="100" spans="1:28" x14ac:dyDescent="0.25">
      <c r="A100">
        <v>1224</v>
      </c>
      <c r="B100" s="1">
        <v>45448</v>
      </c>
      <c r="C100" t="s">
        <v>264</v>
      </c>
      <c r="D100">
        <v>4.71</v>
      </c>
      <c r="E100">
        <v>905</v>
      </c>
      <c r="F100" t="s">
        <v>118</v>
      </c>
      <c r="G100" t="s">
        <v>265</v>
      </c>
      <c r="H100">
        <v>13013</v>
      </c>
      <c r="I100">
        <f>VLOOKUP(H100,Sheet1!H:AE,2)</f>
        <v>3</v>
      </c>
      <c r="J100" t="str">
        <f>VLOOKUP(H100,Sheet1!H:T,3,FALSE)</f>
        <v>22"</v>
      </c>
      <c r="K100">
        <f>VLOOKUP($H100,Sheet1!H:$AE,4,FALSE)</f>
        <v>150000</v>
      </c>
      <c r="L100" t="str">
        <f>VLOOKUP($H100,Sheet1!$H:$AE,5,FALSE)</f>
        <v>ETNA</v>
      </c>
      <c r="M100">
        <f>VLOOKUP($H100,Sheet1!$H:$AE,13,FALSE)</f>
        <v>359</v>
      </c>
      <c r="N100">
        <v>2737.0467842017101</v>
      </c>
      <c r="O100">
        <v>1520590.7132451099</v>
      </c>
      <c r="P100">
        <v>16657.337668285199</v>
      </c>
      <c r="Q100">
        <v>16921088.175374199</v>
      </c>
      <c r="R100">
        <v>0.34722844937699399</v>
      </c>
      <c r="S100">
        <v>2.79454720662387E-3</v>
      </c>
      <c r="T100">
        <v>0.21719616017063001</v>
      </c>
      <c r="U100">
        <v>3.75289910013354E-3</v>
      </c>
      <c r="V100">
        <v>0.785470908484871</v>
      </c>
      <c r="W100">
        <v>0.16850636040886799</v>
      </c>
      <c r="X100">
        <v>0.65529839414714897</v>
      </c>
      <c r="Y100">
        <v>0.225882408774814</v>
      </c>
      <c r="Z100">
        <v>0.103874357476333</v>
      </c>
      <c r="AA100">
        <v>1.07566446606724E-3</v>
      </c>
      <c r="AB100">
        <v>44</v>
      </c>
    </row>
    <row r="101" spans="1:28" x14ac:dyDescent="0.25">
      <c r="A101">
        <v>1225</v>
      </c>
      <c r="B101" s="1">
        <v>45448</v>
      </c>
      <c r="C101" t="s">
        <v>266</v>
      </c>
      <c r="D101">
        <v>4.71</v>
      </c>
      <c r="E101">
        <v>905</v>
      </c>
      <c r="F101" t="s">
        <v>121</v>
      </c>
      <c r="G101" s="2" t="s">
        <v>267</v>
      </c>
      <c r="H101">
        <v>14013</v>
      </c>
      <c r="I101">
        <f>VLOOKUP(H101,Sheet1!H:AE,2)</f>
        <v>3</v>
      </c>
      <c r="J101" t="str">
        <f>VLOOKUP(H101,Sheet1!H:T,3,FALSE)</f>
        <v>22"</v>
      </c>
      <c r="K101">
        <f>VLOOKUP($H101,Sheet1!H:$AE,4,FALSE)</f>
        <v>150000</v>
      </c>
      <c r="L101" t="str">
        <f>VLOOKUP($H101,Sheet1!$H:$AE,5,FALSE)</f>
        <v>Eclipse</v>
      </c>
      <c r="M101">
        <f>VLOOKUP($H101,Sheet1!$H:$AE,13,FALSE)</f>
        <v>1726</v>
      </c>
      <c r="N101">
        <v>2677.2343369874602</v>
      </c>
      <c r="O101">
        <v>1454613.6135354401</v>
      </c>
      <c r="P101">
        <v>16361.1788373734</v>
      </c>
      <c r="Q101">
        <v>17606950.536308501</v>
      </c>
      <c r="R101">
        <v>0.364563213569088</v>
      </c>
      <c r="S101">
        <v>3.0239764585314401E-3</v>
      </c>
      <c r="T101">
        <v>0.23719279733805401</v>
      </c>
      <c r="U101">
        <v>3.3939850578351299E-3</v>
      </c>
      <c r="V101">
        <v>0.68675925925925896</v>
      </c>
      <c r="W101">
        <v>0.215120979081003</v>
      </c>
      <c r="X101">
        <v>0.59742697807961997</v>
      </c>
      <c r="Y101">
        <v>0.24050798394189099</v>
      </c>
      <c r="Z101">
        <v>0.100795516765079</v>
      </c>
      <c r="AA101">
        <v>1.1483676572164199E-3</v>
      </c>
      <c r="AB101">
        <v>52</v>
      </c>
    </row>
    <row r="102" spans="1:28" x14ac:dyDescent="0.25">
      <c r="A102">
        <v>1226</v>
      </c>
      <c r="B102" s="1">
        <v>45448</v>
      </c>
      <c r="C102" t="s">
        <v>268</v>
      </c>
      <c r="D102">
        <v>4.71</v>
      </c>
      <c r="E102">
        <v>905</v>
      </c>
      <c r="F102" t="s">
        <v>124</v>
      </c>
      <c r="G102" s="2" t="s">
        <v>269</v>
      </c>
      <c r="H102">
        <v>15013</v>
      </c>
      <c r="I102">
        <f>VLOOKUP(H102,Sheet1!H:AE,2)</f>
        <v>3</v>
      </c>
      <c r="J102" t="str">
        <f>VLOOKUP(H102,Sheet1!H:T,3,FALSE)</f>
        <v>22"</v>
      </c>
      <c r="K102">
        <f>VLOOKUP($H102,Sheet1!H:$AE,4,FALSE)</f>
        <v>150000</v>
      </c>
      <c r="L102" t="str">
        <f>VLOOKUP($H102,Sheet1!$H:$AE,5,FALSE)</f>
        <v>Windbreaker</v>
      </c>
      <c r="M102">
        <f>VLOOKUP($H102,Sheet1!$H:$AE,13,FALSE)</f>
        <v>1461</v>
      </c>
      <c r="N102">
        <v>2540.0584666299001</v>
      </c>
      <c r="O102">
        <v>2394627.1093781102</v>
      </c>
      <c r="P102">
        <v>15765.1173448026</v>
      </c>
      <c r="Q102">
        <v>21329399.5152785</v>
      </c>
      <c r="R102">
        <v>0.39064267700744298</v>
      </c>
      <c r="S102">
        <v>2.8429624662024999E-3</v>
      </c>
      <c r="T102">
        <v>0.25700637367088802</v>
      </c>
      <c r="U102">
        <v>3.93505608785684E-3</v>
      </c>
      <c r="V102">
        <v>0.976148589840929</v>
      </c>
      <c r="W102">
        <v>2.3282520392494101E-2</v>
      </c>
      <c r="X102">
        <v>0.58056411908158101</v>
      </c>
      <c r="Y102">
        <v>0.24350942271697601</v>
      </c>
      <c r="Z102">
        <v>8.4192931908469798E-2</v>
      </c>
      <c r="AA102">
        <v>2.9695728572760498E-3</v>
      </c>
      <c r="AB102">
        <v>67</v>
      </c>
    </row>
    <row r="103" spans="1:28" x14ac:dyDescent="0.25">
      <c r="A103">
        <v>1227</v>
      </c>
      <c r="B103" s="1">
        <v>45448</v>
      </c>
      <c r="C103" t="s">
        <v>270</v>
      </c>
      <c r="D103">
        <v>4.71</v>
      </c>
      <c r="E103">
        <v>905</v>
      </c>
      <c r="F103" t="s">
        <v>24</v>
      </c>
      <c r="G103" s="2" t="s">
        <v>271</v>
      </c>
      <c r="H103">
        <v>15014</v>
      </c>
      <c r="I103">
        <f>VLOOKUP(H103,Sheet1!H:AE,2)</f>
        <v>3</v>
      </c>
      <c r="J103" t="str">
        <f>VLOOKUP(H103,Sheet1!H:T,3,FALSE)</f>
        <v>22"</v>
      </c>
      <c r="K103">
        <f>VLOOKUP($H103,Sheet1!H:$AE,4,FALSE)</f>
        <v>75000</v>
      </c>
      <c r="L103" t="str">
        <f>VLOOKUP($H103,Sheet1!$H:$AE,5,FALSE)</f>
        <v>Apex</v>
      </c>
      <c r="M103">
        <f>VLOOKUP($H103,Sheet1!$H:$AE,13,FALSE)</f>
        <v>2122</v>
      </c>
      <c r="N103">
        <v>2419.2190922701102</v>
      </c>
      <c r="O103">
        <v>1745944.2787261601</v>
      </c>
      <c r="P103">
        <v>16069.3405070667</v>
      </c>
      <c r="Q103">
        <v>17901397.984500099</v>
      </c>
      <c r="R103">
        <v>0.38423851631172601</v>
      </c>
      <c r="S103">
        <v>2.4964803631305202E-3</v>
      </c>
      <c r="T103">
        <v>0.243080148322458</v>
      </c>
      <c r="U103">
        <v>3.33487871084189E-3</v>
      </c>
      <c r="V103">
        <v>1</v>
      </c>
      <c r="W103">
        <v>0</v>
      </c>
      <c r="X103">
        <v>0.58211551203710499</v>
      </c>
      <c r="Y103">
        <v>0.24325704268305301</v>
      </c>
      <c r="Z103">
        <v>8.4192931908469798E-2</v>
      </c>
      <c r="AA103">
        <v>2.9695728572760498E-3</v>
      </c>
      <c r="AB103">
        <v>64</v>
      </c>
    </row>
    <row r="104" spans="1:28" x14ac:dyDescent="0.25">
      <c r="A104">
        <v>1228</v>
      </c>
      <c r="B104" s="1">
        <v>45448</v>
      </c>
      <c r="C104" t="s">
        <v>272</v>
      </c>
      <c r="D104">
        <v>4.71</v>
      </c>
      <c r="E104">
        <v>905</v>
      </c>
      <c r="F104" t="s">
        <v>28</v>
      </c>
      <c r="G104" t="s">
        <v>273</v>
      </c>
      <c r="H104">
        <v>14014</v>
      </c>
      <c r="I104">
        <f>VLOOKUP(H104,Sheet1!H:AE,2)</f>
        <v>3</v>
      </c>
      <c r="J104" t="str">
        <f>VLOOKUP(H104,Sheet1!H:T,3,FALSE)</f>
        <v>22"</v>
      </c>
      <c r="K104">
        <f>VLOOKUP($H104,Sheet1!H:$AE,4,FALSE)</f>
        <v>75000</v>
      </c>
      <c r="L104" t="str">
        <f>VLOOKUP($H104,Sheet1!$H:$AE,5,FALSE)</f>
        <v>Cayenne</v>
      </c>
      <c r="M104">
        <f>VLOOKUP($H104,Sheet1!$H:$AE,13,FALSE)</f>
        <v>1880</v>
      </c>
      <c r="N104">
        <v>2654.67323943662</v>
      </c>
      <c r="O104">
        <v>1154899.0404155501</v>
      </c>
      <c r="P104">
        <v>16067.2308119319</v>
      </c>
      <c r="Q104">
        <v>16040779.7670864</v>
      </c>
      <c r="R104">
        <v>0.35908229141111297</v>
      </c>
      <c r="S104">
        <v>2.8728109081897E-3</v>
      </c>
      <c r="T104">
        <v>0.23184244088091199</v>
      </c>
      <c r="U104">
        <v>3.2585154014548299E-3</v>
      </c>
      <c r="V104">
        <v>0.99892594581581795</v>
      </c>
      <c r="W104">
        <v>1.07290059179126E-3</v>
      </c>
      <c r="X104">
        <v>0.61169292497975403</v>
      </c>
      <c r="Y104">
        <v>0.23752469050906999</v>
      </c>
      <c r="Z104">
        <v>0.100795516765079</v>
      </c>
      <c r="AA104">
        <v>1.1483676572164199E-3</v>
      </c>
      <c r="AB104">
        <v>53</v>
      </c>
    </row>
    <row r="105" spans="1:28" x14ac:dyDescent="0.25">
      <c r="A105">
        <v>1229</v>
      </c>
      <c r="B105" s="1">
        <v>45448</v>
      </c>
      <c r="C105" t="s">
        <v>274</v>
      </c>
      <c r="D105">
        <v>4.71</v>
      </c>
      <c r="E105">
        <v>905</v>
      </c>
      <c r="F105" t="s">
        <v>32</v>
      </c>
      <c r="G105" t="s">
        <v>275</v>
      </c>
      <c r="H105">
        <v>13014</v>
      </c>
      <c r="I105">
        <f>VLOOKUP(H105,Sheet1!H:AE,2)</f>
        <v>3</v>
      </c>
      <c r="J105" t="str">
        <f>VLOOKUP(H105,Sheet1!H:T,3,FALSE)</f>
        <v>22"</v>
      </c>
      <c r="K105">
        <f>VLOOKUP($H105,Sheet1!H:$AE,4,FALSE)</f>
        <v>75000</v>
      </c>
      <c r="L105" t="str">
        <f>VLOOKUP($H105,Sheet1!$H:$AE,5,FALSE)</f>
        <v>ETNA</v>
      </c>
      <c r="M105">
        <f>VLOOKUP($H105,Sheet1!$H:$AE,13,FALSE)</f>
        <v>837</v>
      </c>
      <c r="N105">
        <v>2669.79108637841</v>
      </c>
      <c r="O105">
        <v>1399232.3631215701</v>
      </c>
      <c r="P105">
        <v>16739.205893247599</v>
      </c>
      <c r="Q105">
        <v>17888199.5013045</v>
      </c>
      <c r="R105">
        <v>0.354442078901619</v>
      </c>
      <c r="S105">
        <v>2.60579615248413E-3</v>
      </c>
      <c r="T105">
        <v>0.22196352588038501</v>
      </c>
      <c r="U105">
        <v>2.63693887467778E-3</v>
      </c>
      <c r="V105">
        <v>0.99340716322826805</v>
      </c>
      <c r="W105">
        <v>6.5493712750188003E-3</v>
      </c>
      <c r="X105">
        <v>0.58615390278467905</v>
      </c>
      <c r="Y105">
        <v>0.24257750503546999</v>
      </c>
      <c r="Z105">
        <v>0.103874357476333</v>
      </c>
      <c r="AA105">
        <v>1.07566446606724E-3</v>
      </c>
      <c r="AB105">
        <v>51</v>
      </c>
    </row>
    <row r="106" spans="1:28" x14ac:dyDescent="0.25">
      <c r="A106">
        <v>1230</v>
      </c>
      <c r="B106" s="1">
        <v>45448</v>
      </c>
      <c r="C106" t="s">
        <v>276</v>
      </c>
      <c r="D106">
        <v>4.71</v>
      </c>
      <c r="E106">
        <v>905</v>
      </c>
      <c r="F106" t="s">
        <v>36</v>
      </c>
      <c r="G106" t="s">
        <v>277</v>
      </c>
      <c r="H106">
        <v>12014</v>
      </c>
      <c r="I106">
        <f>VLOOKUP(H106,Sheet1!H:AE,2)</f>
        <v>3</v>
      </c>
      <c r="J106" t="str">
        <f>VLOOKUP(H106,Sheet1!H:T,3,FALSE)</f>
        <v>22"</v>
      </c>
      <c r="K106">
        <f>VLOOKUP($H106,Sheet1!H:$AE,4,FALSE)</f>
        <v>75000</v>
      </c>
      <c r="L106" t="str">
        <f>VLOOKUP($H106,Sheet1!$H:$AE,5,FALSE)</f>
        <v>CLERK</v>
      </c>
      <c r="M106">
        <f>VLOOKUP($H106,Sheet1!$H:$AE,13,FALSE)</f>
        <v>744</v>
      </c>
      <c r="N106">
        <v>2693.5450695347299</v>
      </c>
      <c r="O106">
        <v>1757444.0924905699</v>
      </c>
      <c r="P106">
        <v>16790.167749963101</v>
      </c>
      <c r="Q106">
        <v>16328375.4612222</v>
      </c>
      <c r="R106">
        <v>0.35857480637039202</v>
      </c>
      <c r="S106">
        <v>2.6295036462545699E-3</v>
      </c>
      <c r="T106">
        <v>0.22216379519117299</v>
      </c>
      <c r="U106">
        <v>2.8141619030292902E-3</v>
      </c>
      <c r="V106">
        <v>0.98683308950165705</v>
      </c>
      <c r="W106">
        <v>1.2993542966257E-2</v>
      </c>
      <c r="X106">
        <v>0.50162881437037499</v>
      </c>
      <c r="Y106">
        <v>0.249997346963578</v>
      </c>
      <c r="Z106">
        <v>0.101541433721954</v>
      </c>
      <c r="AA106">
        <v>8.1137284474565199E-4</v>
      </c>
      <c r="AB106">
        <v>46</v>
      </c>
    </row>
    <row r="107" spans="1:28" x14ac:dyDescent="0.25">
      <c r="A107">
        <v>1231</v>
      </c>
      <c r="B107" s="1">
        <v>45448</v>
      </c>
      <c r="C107" t="s">
        <v>278</v>
      </c>
      <c r="D107">
        <v>4.71</v>
      </c>
      <c r="E107">
        <v>905</v>
      </c>
      <c r="F107" t="s">
        <v>40</v>
      </c>
      <c r="G107" t="s">
        <v>279</v>
      </c>
      <c r="H107">
        <v>11014</v>
      </c>
      <c r="I107">
        <f>VLOOKUP(H107,Sheet1!H:AE,2)</f>
        <v>3</v>
      </c>
      <c r="J107" t="str">
        <f>VLOOKUP(H107,Sheet1!H:T,3,FALSE)</f>
        <v>22"</v>
      </c>
      <c r="K107">
        <f>VLOOKUP($H107,Sheet1!H:$AE,4,FALSE)</f>
        <v>75000</v>
      </c>
      <c r="L107" t="str">
        <f>VLOOKUP($H107,Sheet1!$H:$AE,5,FALSE)</f>
        <v>Eclipse</v>
      </c>
      <c r="M107">
        <f>VLOOKUP($H107,Sheet1!$H:$AE,13,FALSE)</f>
        <v>2097</v>
      </c>
      <c r="N107">
        <v>2565.1758987491398</v>
      </c>
      <c r="O107">
        <v>1048409.8734524</v>
      </c>
      <c r="P107">
        <v>16793.405247691298</v>
      </c>
      <c r="Q107">
        <v>14848755.299722901</v>
      </c>
      <c r="R107">
        <v>0.35509792253240002</v>
      </c>
      <c r="S107">
        <v>2.3628576794781698E-3</v>
      </c>
      <c r="T107">
        <v>0.222354083626638</v>
      </c>
      <c r="U107">
        <v>2.2660702993552101E-3</v>
      </c>
      <c r="V107">
        <v>0.96381481481481501</v>
      </c>
      <c r="W107">
        <v>3.4875817558298002E-2</v>
      </c>
      <c r="X107">
        <v>0.48708439544663901</v>
      </c>
      <c r="Y107">
        <v>0.24983318715877001</v>
      </c>
      <c r="Z107">
        <v>0.116475845461096</v>
      </c>
      <c r="AA107">
        <v>8.8454664812347703E-4</v>
      </c>
      <c r="AB107">
        <v>57</v>
      </c>
    </row>
    <row r="108" spans="1:28" x14ac:dyDescent="0.25">
      <c r="A108">
        <v>1232</v>
      </c>
      <c r="B108" s="1">
        <v>45448</v>
      </c>
      <c r="C108" t="s">
        <v>280</v>
      </c>
      <c r="D108">
        <v>4.71</v>
      </c>
      <c r="E108">
        <v>905</v>
      </c>
      <c r="F108" t="s">
        <v>44</v>
      </c>
      <c r="G108" t="s">
        <v>281</v>
      </c>
      <c r="H108">
        <v>10014</v>
      </c>
      <c r="I108">
        <f>VLOOKUP(H108,Sheet1!H:AE,2)</f>
        <v>3</v>
      </c>
      <c r="J108" t="str">
        <f>VLOOKUP(H108,Sheet1!H:T,3,FALSE)</f>
        <v>22"</v>
      </c>
      <c r="K108">
        <f>VLOOKUP($H108,Sheet1!H:$AE,4,FALSE)</f>
        <v>75000</v>
      </c>
      <c r="L108" t="str">
        <f>VLOOKUP($H108,Sheet1!$H:$AE,5,FALSE)</f>
        <v>Merlot</v>
      </c>
      <c r="M108">
        <f>VLOOKUP($H108,Sheet1!$H:$AE,13,FALSE)</f>
        <v>1478</v>
      </c>
      <c r="N108">
        <v>2421.9109524278501</v>
      </c>
      <c r="O108">
        <v>1360030.16430533</v>
      </c>
      <c r="P108">
        <v>16611.662034437599</v>
      </c>
      <c r="Q108">
        <v>17971103.119484801</v>
      </c>
      <c r="R108">
        <v>0.37659165600644401</v>
      </c>
      <c r="S108">
        <v>2.9078989868721E-3</v>
      </c>
      <c r="T108">
        <v>0.247683268430965</v>
      </c>
      <c r="U108">
        <v>2.47614927387871E-3</v>
      </c>
      <c r="V108">
        <v>0.96779450710224602</v>
      </c>
      <c r="W108">
        <v>3.1168299124965299E-2</v>
      </c>
      <c r="X108">
        <v>0.54939907606795102</v>
      </c>
      <c r="Y108">
        <v>0.24755973128400399</v>
      </c>
      <c r="Z108">
        <v>7.7678776515304901E-2</v>
      </c>
      <c r="AA108">
        <v>1.12397102936487E-3</v>
      </c>
      <c r="AB108">
        <v>39</v>
      </c>
    </row>
    <row r="109" spans="1:28" x14ac:dyDescent="0.25">
      <c r="A109">
        <v>1233</v>
      </c>
      <c r="B109" s="1">
        <v>45448</v>
      </c>
      <c r="C109" t="s">
        <v>282</v>
      </c>
      <c r="D109">
        <v>4.71</v>
      </c>
      <c r="E109">
        <v>905</v>
      </c>
      <c r="F109" t="s">
        <v>48</v>
      </c>
      <c r="G109" t="s">
        <v>283</v>
      </c>
      <c r="H109">
        <v>9014</v>
      </c>
      <c r="I109">
        <f>VLOOKUP(H109,Sheet1!H:AE,2)</f>
        <v>3</v>
      </c>
      <c r="J109" t="str">
        <f>VLOOKUP(H109,Sheet1!H:T,3,FALSE)</f>
        <v>22"</v>
      </c>
      <c r="K109">
        <f>VLOOKUP($H109,Sheet1!H:$AE,4,FALSE)</f>
        <v>75000</v>
      </c>
      <c r="L109" t="str">
        <f>VLOOKUP($H109,Sheet1!$H:$AE,5,FALSE)</f>
        <v>black bear</v>
      </c>
      <c r="M109">
        <f>VLOOKUP($H109,Sheet1!$H:$AE,13,FALSE)</f>
        <v>2009</v>
      </c>
      <c r="N109">
        <v>2643.7194890129899</v>
      </c>
      <c r="O109">
        <v>1410068.97971069</v>
      </c>
      <c r="P109">
        <v>16661.862120088099</v>
      </c>
      <c r="Q109">
        <v>18428029.871332299</v>
      </c>
      <c r="R109">
        <v>0.35239144555433599</v>
      </c>
      <c r="S109">
        <v>3.04682633061776E-3</v>
      </c>
      <c r="T109">
        <v>0.23121811900177699</v>
      </c>
      <c r="U109">
        <v>2.96264142414625E-3</v>
      </c>
      <c r="V109">
        <v>0.97151904594359395</v>
      </c>
      <c r="W109">
        <v>2.7669789312442999E-2</v>
      </c>
      <c r="X109">
        <v>0.60512027681151404</v>
      </c>
      <c r="Y109">
        <v>0.238949727402953</v>
      </c>
      <c r="Z109">
        <v>0.10209411788841601</v>
      </c>
      <c r="AA109">
        <v>8.5563714117808899E-4</v>
      </c>
      <c r="AB109">
        <v>48</v>
      </c>
    </row>
    <row r="110" spans="1:28" x14ac:dyDescent="0.25">
      <c r="A110">
        <v>1234</v>
      </c>
      <c r="B110" s="1">
        <v>45448</v>
      </c>
      <c r="C110" t="s">
        <v>284</v>
      </c>
      <c r="D110">
        <v>4.71</v>
      </c>
      <c r="E110">
        <v>905</v>
      </c>
      <c r="F110" t="s">
        <v>52</v>
      </c>
      <c r="G110" t="s">
        <v>285</v>
      </c>
      <c r="H110">
        <v>8014</v>
      </c>
      <c r="I110">
        <f>VLOOKUP(H110,Sheet1!H:AE,2)</f>
        <v>2</v>
      </c>
      <c r="J110" t="str">
        <f>VLOOKUP(H110,Sheet1!H:T,3,FALSE)</f>
        <v>22"</v>
      </c>
      <c r="K110">
        <f>VLOOKUP($H110,Sheet1!H:$AE,4,FALSE)</f>
        <v>75000</v>
      </c>
      <c r="L110" t="str">
        <f>VLOOKUP($H110,Sheet1!$H:$AE,5,FALSE)</f>
        <v>Red Dawn</v>
      </c>
      <c r="M110">
        <f>VLOOKUP($H110,Sheet1!$H:$AE,13,FALSE)</f>
        <v>622</v>
      </c>
      <c r="N110">
        <v>2810.7397517975</v>
      </c>
      <c r="O110">
        <v>2355502.7378751501</v>
      </c>
      <c r="P110">
        <v>16707.441670428099</v>
      </c>
      <c r="Q110">
        <v>17789737.633511402</v>
      </c>
      <c r="R110">
        <v>0.32028130088649798</v>
      </c>
      <c r="S110">
        <v>3.5266773478259301E-3</v>
      </c>
      <c r="T110">
        <v>0.22074516886746801</v>
      </c>
      <c r="U110">
        <v>3.6785726976834099E-3</v>
      </c>
      <c r="V110">
        <v>0.99881485870893705</v>
      </c>
      <c r="W110">
        <v>1.1837367311835301E-3</v>
      </c>
      <c r="X110">
        <v>0.66585682338974606</v>
      </c>
      <c r="Y110">
        <v>0.222491514135254</v>
      </c>
      <c r="Z110">
        <v>9.6373351045459299E-2</v>
      </c>
      <c r="AA110">
        <v>9.1612187112057898E-4</v>
      </c>
      <c r="AB110">
        <v>46</v>
      </c>
    </row>
    <row r="111" spans="1:28" x14ac:dyDescent="0.25">
      <c r="A111">
        <v>1235</v>
      </c>
      <c r="B111" s="1">
        <v>45448</v>
      </c>
      <c r="C111" t="s">
        <v>286</v>
      </c>
      <c r="D111">
        <v>4.71</v>
      </c>
      <c r="E111">
        <v>905</v>
      </c>
      <c r="F111" t="s">
        <v>56</v>
      </c>
      <c r="G111" t="s">
        <v>287</v>
      </c>
      <c r="H111">
        <v>7014</v>
      </c>
      <c r="I111">
        <f>VLOOKUP(H111,Sheet1!H:AE,2)</f>
        <v>2</v>
      </c>
      <c r="J111" t="str">
        <f>VLOOKUP(H111,Sheet1!H:T,3,FALSE)</f>
        <v>22"</v>
      </c>
      <c r="K111">
        <f>VLOOKUP($H111,Sheet1!H:$AE,4,FALSE)</f>
        <v>75000</v>
      </c>
      <c r="L111" t="str">
        <f>VLOOKUP($H111,Sheet1!$H:$AE,5,FALSE)</f>
        <v>T9905</v>
      </c>
      <c r="M111">
        <f>VLOOKUP($H111,Sheet1!$H:$AE,13,FALSE)</f>
        <v>1717</v>
      </c>
      <c r="N111">
        <v>2828.8528287763002</v>
      </c>
      <c r="O111">
        <v>1384189.29496268</v>
      </c>
      <c r="P111">
        <v>16782.431031357901</v>
      </c>
      <c r="Q111">
        <v>15416186.6900796</v>
      </c>
      <c r="R111">
        <v>0.34529613332963699</v>
      </c>
      <c r="S111">
        <v>2.2356253436609502E-3</v>
      </c>
      <c r="T111">
        <v>0.22722559935134201</v>
      </c>
      <c r="U111">
        <v>2.15363221190002E-3</v>
      </c>
      <c r="V111">
        <v>0.97559259259259301</v>
      </c>
      <c r="W111">
        <v>2.38116858710592E-2</v>
      </c>
      <c r="X111">
        <v>0.42218213943900401</v>
      </c>
      <c r="Y111">
        <v>0.24394438057753601</v>
      </c>
      <c r="Z111">
        <v>9.3056265944980301E-2</v>
      </c>
      <c r="AA111">
        <v>9.3336123640364304E-4</v>
      </c>
      <c r="AB111">
        <v>33</v>
      </c>
    </row>
    <row r="112" spans="1:28" x14ac:dyDescent="0.25">
      <c r="A112">
        <v>1236</v>
      </c>
      <c r="B112" s="1">
        <v>45448</v>
      </c>
      <c r="C112" t="s">
        <v>288</v>
      </c>
      <c r="D112">
        <v>4.71</v>
      </c>
      <c r="E112">
        <v>905</v>
      </c>
      <c r="F112" t="s">
        <v>60</v>
      </c>
      <c r="G112" t="s">
        <v>289</v>
      </c>
      <c r="H112">
        <v>6014</v>
      </c>
      <c r="I112">
        <f>VLOOKUP(H112,Sheet1!H:AE,2)</f>
        <v>2</v>
      </c>
      <c r="J112" t="str">
        <f>VLOOKUP(H112,Sheet1!H:T,3,FALSE)</f>
        <v>22"</v>
      </c>
      <c r="K112">
        <f>VLOOKUP($H112,Sheet1!H:$AE,4,FALSE)</f>
        <v>75000</v>
      </c>
      <c r="L112" t="str">
        <f>VLOOKUP($H112,Sheet1!$H:$AE,5,FALSE)</f>
        <v>Zorro</v>
      </c>
      <c r="M112">
        <f>VLOOKUP($H112,Sheet1!$H:$AE,13,FALSE)</f>
        <v>2039</v>
      </c>
      <c r="N112">
        <v>2717.5350378694602</v>
      </c>
      <c r="O112">
        <v>1455563.44785048</v>
      </c>
      <c r="P112">
        <v>16541.124369868699</v>
      </c>
      <c r="Q112">
        <v>15873830.271241499</v>
      </c>
      <c r="R112">
        <v>0.350899054811872</v>
      </c>
      <c r="S112">
        <v>2.37114514638497E-3</v>
      </c>
      <c r="T112">
        <v>0.22155591038636199</v>
      </c>
      <c r="U112">
        <v>2.7493535445477098E-3</v>
      </c>
      <c r="V112">
        <v>0.94312962962962998</v>
      </c>
      <c r="W112">
        <v>5.3636131344304901E-2</v>
      </c>
      <c r="X112">
        <v>0.65417885999300596</v>
      </c>
      <c r="Y112">
        <v>0.226228879130906</v>
      </c>
      <c r="Z112">
        <v>9.0332477784697399E-2</v>
      </c>
      <c r="AA112">
        <v>1.02611903384868E-3</v>
      </c>
      <c r="AB112">
        <v>60</v>
      </c>
    </row>
    <row r="113" spans="1:28" x14ac:dyDescent="0.25">
      <c r="A113">
        <v>1237</v>
      </c>
      <c r="B113" s="1">
        <v>45448</v>
      </c>
      <c r="C113" t="s">
        <v>290</v>
      </c>
      <c r="D113">
        <v>4.71</v>
      </c>
      <c r="E113">
        <v>905</v>
      </c>
      <c r="F113" t="s">
        <v>64</v>
      </c>
      <c r="G113" t="s">
        <v>291</v>
      </c>
      <c r="H113">
        <v>5014</v>
      </c>
      <c r="I113">
        <f>VLOOKUP(H113,Sheet1!H:AE,2)</f>
        <v>2</v>
      </c>
      <c r="J113" t="str">
        <f>VLOOKUP(H113,Sheet1!H:T,3,FALSE)</f>
        <v>22"</v>
      </c>
      <c r="K113">
        <f>VLOOKUP($H113,Sheet1!H:$AE,4,FALSE)</f>
        <v>75000</v>
      </c>
      <c r="L113" t="str">
        <f>VLOOKUP($H113,Sheet1!$H:$AE,5,FALSE)</f>
        <v>Redhawk</v>
      </c>
      <c r="M113">
        <f>VLOOKUP($H113,Sheet1!$H:$AE,13,FALSE)</f>
        <v>626</v>
      </c>
      <c r="N113">
        <v>2724.3917796885598</v>
      </c>
      <c r="O113">
        <v>1758711.2170629201</v>
      </c>
      <c r="P113">
        <v>16578.442664860198</v>
      </c>
      <c r="Q113">
        <v>16218597.973613</v>
      </c>
      <c r="R113">
        <v>0.35701728860672999</v>
      </c>
      <c r="S113">
        <v>2.7422550719414201E-3</v>
      </c>
      <c r="T113">
        <v>0.22742097099410899</v>
      </c>
      <c r="U113">
        <v>3.6521961573555799E-3</v>
      </c>
      <c r="V113">
        <v>0.82561111111111096</v>
      </c>
      <c r="W113">
        <v>0.143977404321008</v>
      </c>
      <c r="X113">
        <v>0.711682694519854</v>
      </c>
      <c r="Y113">
        <v>0.205190436840613</v>
      </c>
      <c r="Z113">
        <v>8.5872909838574096E-2</v>
      </c>
      <c r="AA113">
        <v>8.7433742098954204E-4</v>
      </c>
      <c r="AB113">
        <v>52</v>
      </c>
    </row>
    <row r="114" spans="1:28" x14ac:dyDescent="0.25">
      <c r="A114">
        <v>1238</v>
      </c>
      <c r="B114" s="1">
        <v>45448</v>
      </c>
      <c r="C114" t="s">
        <v>292</v>
      </c>
      <c r="D114">
        <v>4.71</v>
      </c>
      <c r="E114">
        <v>905</v>
      </c>
      <c r="F114" t="s">
        <v>68</v>
      </c>
      <c r="G114" t="s">
        <v>293</v>
      </c>
      <c r="H114">
        <v>4014</v>
      </c>
      <c r="I114">
        <f>VLOOKUP(H114,Sheet1!H:AE,2)</f>
        <v>1</v>
      </c>
      <c r="J114" t="str">
        <f>VLOOKUP(H114,Sheet1!H:T,3,FALSE)</f>
        <v>22"</v>
      </c>
      <c r="K114">
        <f>VLOOKUP($H114,Sheet1!H:$AE,4,FALSE)</f>
        <v>75000</v>
      </c>
      <c r="L114" t="str">
        <f>VLOOKUP($H114,Sheet1!$H:$AE,5,FALSE)</f>
        <v>Red Rover</v>
      </c>
      <c r="M114">
        <f>VLOOKUP($H114,Sheet1!$H:$AE,13,FALSE)</f>
        <v>688</v>
      </c>
      <c r="N114">
        <v>2704.3619297139699</v>
      </c>
      <c r="O114">
        <v>2755819.9341909098</v>
      </c>
      <c r="P114">
        <v>16656.417283239301</v>
      </c>
      <c r="Q114">
        <v>17498824.4891789</v>
      </c>
      <c r="R114">
        <v>0.35793835537553798</v>
      </c>
      <c r="S114">
        <v>2.8643862601270401E-3</v>
      </c>
      <c r="T114">
        <v>0.230748556057432</v>
      </c>
      <c r="U114">
        <v>4.5443431205589796E-3</v>
      </c>
      <c r="V114">
        <v>0.77105131576510699</v>
      </c>
      <c r="W114">
        <v>0.17653118422198699</v>
      </c>
      <c r="X114">
        <v>0.73546220034049603</v>
      </c>
      <c r="Y114">
        <v>0.19455755221044799</v>
      </c>
      <c r="Z114">
        <v>9.0307155243878806E-2</v>
      </c>
      <c r="AA114">
        <v>9.5910824056944801E-4</v>
      </c>
      <c r="AB114">
        <v>27</v>
      </c>
    </row>
    <row r="115" spans="1:28" x14ac:dyDescent="0.25">
      <c r="A115">
        <v>1239</v>
      </c>
      <c r="B115" s="1">
        <v>45448</v>
      </c>
      <c r="C115" t="s">
        <v>294</v>
      </c>
      <c r="D115">
        <v>4.71</v>
      </c>
      <c r="E115">
        <v>905</v>
      </c>
      <c r="F115" t="s">
        <v>72</v>
      </c>
      <c r="G115" t="s">
        <v>295</v>
      </c>
      <c r="H115">
        <v>3014</v>
      </c>
      <c r="I115">
        <f>VLOOKUP(H115,Sheet1!H:AE,2)</f>
        <v>1</v>
      </c>
      <c r="J115" t="str">
        <f>VLOOKUP(H115,Sheet1!H:T,3,FALSE)</f>
        <v>22"</v>
      </c>
      <c r="K115">
        <f>VLOOKUP($H115,Sheet1!H:$AE,4,FALSE)</f>
        <v>75000</v>
      </c>
      <c r="L115" t="str">
        <f>VLOOKUP($H115,Sheet1!$H:$AE,5,FALSE)</f>
        <v>Windbreaker</v>
      </c>
      <c r="M115">
        <f>VLOOKUP($H115,Sheet1!$H:$AE,13,FALSE)</f>
        <v>1211</v>
      </c>
      <c r="N115">
        <v>2563.0889992021998</v>
      </c>
      <c r="O115">
        <v>1551254.67023018</v>
      </c>
      <c r="P115">
        <v>16238.418687592601</v>
      </c>
      <c r="Q115">
        <v>15338486.429685799</v>
      </c>
      <c r="R115">
        <v>0.35352111459510699</v>
      </c>
      <c r="S115">
        <v>2.35603557965724E-3</v>
      </c>
      <c r="T115">
        <v>0.22388766801121501</v>
      </c>
      <c r="U115">
        <v>2.9616642058565498E-3</v>
      </c>
      <c r="V115">
        <v>0.96829512204155699</v>
      </c>
      <c r="W115">
        <v>3.0699678672080701E-2</v>
      </c>
      <c r="X115">
        <v>0.63676102481042396</v>
      </c>
      <c r="Y115">
        <v>0.231296422092723</v>
      </c>
      <c r="Z115">
        <v>9.4957034091235501E-2</v>
      </c>
      <c r="AA115">
        <v>8.4252624967331795E-4</v>
      </c>
      <c r="AB115">
        <v>39</v>
      </c>
    </row>
    <row r="116" spans="1:28" x14ac:dyDescent="0.25">
      <c r="A116">
        <v>1240</v>
      </c>
      <c r="B116" s="1">
        <v>45448</v>
      </c>
      <c r="C116" t="s">
        <v>296</v>
      </c>
      <c r="D116">
        <v>4.71</v>
      </c>
      <c r="E116">
        <v>905</v>
      </c>
      <c r="F116" t="s">
        <v>76</v>
      </c>
      <c r="G116" t="s">
        <v>297</v>
      </c>
      <c r="H116">
        <v>2014</v>
      </c>
      <c r="I116">
        <f>VLOOKUP(H116,Sheet1!H:AE,2)</f>
        <v>1</v>
      </c>
      <c r="J116" t="str">
        <f>VLOOKUP(H116,Sheet1!H:T,3,FALSE)</f>
        <v>22"</v>
      </c>
      <c r="K116">
        <f>VLOOKUP($H116,Sheet1!H:$AE,4,FALSE)</f>
        <v>75000</v>
      </c>
      <c r="L116" t="str">
        <f>VLOOKUP($H116,Sheet1!$H:$AE,5,FALSE)</f>
        <v>Ronnies red</v>
      </c>
      <c r="M116">
        <f>VLOOKUP($H116,Sheet1!$H:$AE,13,FALSE)</f>
        <v>728</v>
      </c>
      <c r="N116">
        <v>2446.7781443908202</v>
      </c>
      <c r="O116">
        <v>1674324.1121807599</v>
      </c>
      <c r="P116">
        <v>16473.2637902182</v>
      </c>
      <c r="Q116">
        <v>16323454.4062801</v>
      </c>
      <c r="R116">
        <v>0.353220837468319</v>
      </c>
      <c r="S116">
        <v>2.28227760821899E-3</v>
      </c>
      <c r="T116">
        <v>0.22198481529212</v>
      </c>
      <c r="U116">
        <v>2.7790286504136901E-3</v>
      </c>
      <c r="V116">
        <v>0.98370340191484995</v>
      </c>
      <c r="W116">
        <v>1.6031018976020099E-2</v>
      </c>
      <c r="X116">
        <v>0.52512331590959205</v>
      </c>
      <c r="Y116">
        <v>0.24936881899774899</v>
      </c>
      <c r="Z116">
        <v>0.10455132394219099</v>
      </c>
      <c r="AA116">
        <v>9.9505154427514996E-4</v>
      </c>
      <c r="AB116">
        <v>48</v>
      </c>
    </row>
    <row r="117" spans="1:28" x14ac:dyDescent="0.25">
      <c r="A117">
        <v>1241</v>
      </c>
      <c r="B117" s="1">
        <v>45448</v>
      </c>
      <c r="C117" t="s">
        <v>298</v>
      </c>
      <c r="D117">
        <v>4.71</v>
      </c>
      <c r="E117">
        <v>905</v>
      </c>
      <c r="F117" t="s">
        <v>79</v>
      </c>
      <c r="G117" t="s">
        <v>299</v>
      </c>
      <c r="H117">
        <v>1014</v>
      </c>
      <c r="I117">
        <f>VLOOKUP(H117,Sheet1!H:AE,2)</f>
        <v>1</v>
      </c>
      <c r="J117" t="str">
        <f>VLOOKUP(H117,Sheet1!H:T,3,FALSE)</f>
        <v>22"</v>
      </c>
      <c r="K117">
        <f>VLOOKUP($H117,Sheet1!H:$AE,4,FALSE)</f>
        <v>75000</v>
      </c>
      <c r="L117" t="str">
        <f>VLOOKUP($H117,Sheet1!$H:$AE,5,FALSE)</f>
        <v>Nautica</v>
      </c>
      <c r="M117">
        <f>VLOOKUP($H117,Sheet1!$H:$AE,13,FALSE)</f>
        <v>1932</v>
      </c>
      <c r="N117">
        <v>2417.12549985226</v>
      </c>
      <c r="O117">
        <v>2536399.2720071399</v>
      </c>
      <c r="P117">
        <v>16454.276980045601</v>
      </c>
      <c r="Q117">
        <v>15366378.566599101</v>
      </c>
      <c r="R117">
        <v>0.37048300559581399</v>
      </c>
      <c r="S117">
        <v>2.5765484182616299E-3</v>
      </c>
      <c r="T117">
        <v>0.22925281535623299</v>
      </c>
      <c r="U117">
        <v>3.8113416147910798E-3</v>
      </c>
      <c r="V117">
        <v>0.996426058294137</v>
      </c>
      <c r="W117">
        <v>3.5611686465454799E-3</v>
      </c>
      <c r="X117">
        <v>0.46458316078149797</v>
      </c>
      <c r="Y117">
        <v>0.24874564750021999</v>
      </c>
      <c r="Z117">
        <v>0</v>
      </c>
      <c r="AA117">
        <v>0</v>
      </c>
      <c r="AB117">
        <v>68</v>
      </c>
    </row>
    <row r="118" spans="1:28" x14ac:dyDescent="0.25">
      <c r="A118">
        <v>1242</v>
      </c>
      <c r="B118" s="1">
        <v>45448</v>
      </c>
      <c r="C118" t="s">
        <v>300</v>
      </c>
      <c r="D118">
        <v>4.71</v>
      </c>
      <c r="E118">
        <v>905</v>
      </c>
      <c r="F118" t="s">
        <v>82</v>
      </c>
      <c r="G118" t="s">
        <v>301</v>
      </c>
      <c r="H118">
        <v>1015</v>
      </c>
      <c r="I118">
        <f>VLOOKUP(H118,Sheet1!H:AE,2)</f>
        <v>1</v>
      </c>
      <c r="J118" t="str">
        <f>VLOOKUP(H118,Sheet1!H:T,3,FALSE)</f>
        <v>22"</v>
      </c>
      <c r="K118">
        <f>VLOOKUP($H118,Sheet1!H:$AE,4,FALSE)</f>
        <v>100000</v>
      </c>
      <c r="L118" t="str">
        <f>VLOOKUP($H118,Sheet1!$H:$AE,5,FALSE)</f>
        <v>CLERK</v>
      </c>
      <c r="M118">
        <f>VLOOKUP($H118,Sheet1!$H:$AE,13,FALSE)</f>
        <v>798</v>
      </c>
      <c r="N118">
        <v>2266.7038076665499</v>
      </c>
      <c r="O118">
        <v>1620815.4732065799</v>
      </c>
      <c r="P118">
        <v>16691.885205365201</v>
      </c>
      <c r="Q118">
        <v>17029436.499904599</v>
      </c>
      <c r="R118">
        <v>0.378225123140288</v>
      </c>
      <c r="S118">
        <v>2.8409544392356601E-3</v>
      </c>
      <c r="T118">
        <v>0.23736266295285399</v>
      </c>
      <c r="U118">
        <v>3.9038137102593001E-3</v>
      </c>
      <c r="V118">
        <v>0.99953704561026602</v>
      </c>
      <c r="W118">
        <v>4.6274006296655201E-4</v>
      </c>
      <c r="X118">
        <v>0.60114298335219896</v>
      </c>
      <c r="Y118">
        <v>0.23977009691818901</v>
      </c>
      <c r="Z118">
        <v>0</v>
      </c>
      <c r="AA118">
        <v>0</v>
      </c>
      <c r="AB118">
        <v>77</v>
      </c>
    </row>
    <row r="119" spans="1:28" x14ac:dyDescent="0.25">
      <c r="A119">
        <v>1243</v>
      </c>
      <c r="B119" s="1">
        <v>45448</v>
      </c>
      <c r="C119" t="s">
        <v>302</v>
      </c>
      <c r="D119">
        <v>4.71</v>
      </c>
      <c r="E119">
        <v>905</v>
      </c>
      <c r="F119" t="s">
        <v>85</v>
      </c>
      <c r="G119" t="s">
        <v>303</v>
      </c>
      <c r="H119">
        <v>2015</v>
      </c>
      <c r="I119">
        <f>VLOOKUP(H119,Sheet1!H:AE,2)</f>
        <v>1</v>
      </c>
      <c r="J119" t="str">
        <f>VLOOKUP(H119,Sheet1!H:T,3,FALSE)</f>
        <v>22"</v>
      </c>
      <c r="K119">
        <f>VLOOKUP($H119,Sheet1!H:$AE,4,FALSE)</f>
        <v>100000</v>
      </c>
      <c r="L119" t="str">
        <f>VLOOKUP($H119,Sheet1!$H:$AE,5,FALSE)</f>
        <v>Nautica</v>
      </c>
      <c r="M119">
        <f>VLOOKUP($H119,Sheet1!$H:$AE,13,FALSE)</f>
        <v>2081</v>
      </c>
      <c r="N119">
        <v>2546.7393454087</v>
      </c>
      <c r="O119">
        <v>1811841.7373168401</v>
      </c>
      <c r="P119">
        <v>16516.380810955201</v>
      </c>
      <c r="Q119">
        <v>14575459.825031999</v>
      </c>
      <c r="R119">
        <v>0.34796363978373501</v>
      </c>
      <c r="S119">
        <v>2.0216884453714301E-3</v>
      </c>
      <c r="T119">
        <v>0.22060070963148501</v>
      </c>
      <c r="U119">
        <v>2.6482974413073301E-3</v>
      </c>
      <c r="V119">
        <v>0.99996296227707904</v>
      </c>
      <c r="W119" s="2">
        <v>3.7036351127861998E-5</v>
      </c>
      <c r="X119">
        <v>0.40328903776779801</v>
      </c>
      <c r="Y119">
        <v>0.24064698978436899</v>
      </c>
      <c r="Z119">
        <v>0.10455132394219099</v>
      </c>
      <c r="AA119">
        <v>9.9505154427514996E-4</v>
      </c>
      <c r="AB119">
        <v>79</v>
      </c>
    </row>
    <row r="120" spans="1:28" x14ac:dyDescent="0.25">
      <c r="A120">
        <v>1244</v>
      </c>
      <c r="B120" s="1">
        <v>45448</v>
      </c>
      <c r="C120" t="s">
        <v>304</v>
      </c>
      <c r="D120">
        <v>4.71</v>
      </c>
      <c r="E120">
        <v>905</v>
      </c>
      <c r="F120" t="s">
        <v>88</v>
      </c>
      <c r="G120" t="s">
        <v>305</v>
      </c>
      <c r="H120">
        <v>3015</v>
      </c>
      <c r="I120">
        <f>VLOOKUP(H120,Sheet1!H:AE,2)</f>
        <v>1</v>
      </c>
      <c r="J120" t="str">
        <f>VLOOKUP(H120,Sheet1!H:T,3,FALSE)</f>
        <v>22"</v>
      </c>
      <c r="K120">
        <f>VLOOKUP($H120,Sheet1!H:$AE,4,FALSE)</f>
        <v>100000</v>
      </c>
      <c r="L120" t="str">
        <f>VLOOKUP($H120,Sheet1!$H:$AE,5,FALSE)</f>
        <v>Red Rover</v>
      </c>
      <c r="M120">
        <f>VLOOKUP($H120,Sheet1!$H:$AE,13,FALSE)</f>
        <v>821</v>
      </c>
      <c r="N120">
        <v>2565.0558658117402</v>
      </c>
      <c r="O120">
        <v>1641817.6811072</v>
      </c>
      <c r="P120">
        <v>16217.443622766001</v>
      </c>
      <c r="Q120">
        <v>17044673.852669101</v>
      </c>
      <c r="R120">
        <v>0.35746198693708697</v>
      </c>
      <c r="S120">
        <v>3.0190483458175598E-3</v>
      </c>
      <c r="T120">
        <v>0.23366366758808599</v>
      </c>
      <c r="U120">
        <v>4.1742887719378599E-3</v>
      </c>
      <c r="V120">
        <v>0.97385185185185197</v>
      </c>
      <c r="W120">
        <v>2.5464422496570101E-2</v>
      </c>
      <c r="X120">
        <v>0.74224005447835995</v>
      </c>
      <c r="Y120">
        <v>0.1913197560065</v>
      </c>
      <c r="Z120">
        <v>9.4957034091235501E-2</v>
      </c>
      <c r="AA120">
        <v>8.4252624967331795E-4</v>
      </c>
      <c r="AB120">
        <v>73</v>
      </c>
    </row>
    <row r="121" spans="1:28" x14ac:dyDescent="0.25">
      <c r="A121">
        <v>1245</v>
      </c>
      <c r="B121" s="1">
        <v>45448</v>
      </c>
      <c r="C121" t="s">
        <v>306</v>
      </c>
      <c r="D121">
        <v>4.71</v>
      </c>
      <c r="E121">
        <v>905</v>
      </c>
      <c r="F121" t="s">
        <v>91</v>
      </c>
      <c r="G121" t="s">
        <v>307</v>
      </c>
      <c r="H121">
        <v>4015</v>
      </c>
      <c r="I121">
        <f>VLOOKUP(H121,Sheet1!H:AE,2)</f>
        <v>1</v>
      </c>
      <c r="J121" t="str">
        <f>VLOOKUP(H121,Sheet1!H:T,3,FALSE)</f>
        <v>22"</v>
      </c>
      <c r="K121">
        <f>VLOOKUP($H121,Sheet1!H:$AE,4,FALSE)</f>
        <v>100000</v>
      </c>
      <c r="L121" t="str">
        <f>VLOOKUP($H121,Sheet1!$H:$AE,5,FALSE)</f>
        <v>Red Dawn</v>
      </c>
      <c r="M121">
        <f>VLOOKUP($H121,Sheet1!$H:$AE,13,FALSE)</f>
        <v>633</v>
      </c>
      <c r="N121">
        <v>2727.4803407859699</v>
      </c>
      <c r="O121">
        <v>2672822.65124853</v>
      </c>
      <c r="P121">
        <v>16269.0705788045</v>
      </c>
      <c r="Q121">
        <v>19152693.5877418</v>
      </c>
      <c r="R121">
        <v>0.36295083995641902</v>
      </c>
      <c r="S121">
        <v>2.6569791135507802E-3</v>
      </c>
      <c r="T121">
        <v>0.23675136918566</v>
      </c>
      <c r="U121">
        <v>4.3519115038791302E-3</v>
      </c>
      <c r="V121">
        <v>0.98599948146227601</v>
      </c>
      <c r="W121">
        <v>1.3804504018400899E-2</v>
      </c>
      <c r="X121">
        <v>0.69627673280082403</v>
      </c>
      <c r="Y121">
        <v>0.211475444161211</v>
      </c>
      <c r="Z121">
        <v>9.0307155243878806E-2</v>
      </c>
      <c r="AA121">
        <v>9.5910824056944801E-4</v>
      </c>
      <c r="AB121">
        <v>58</v>
      </c>
    </row>
    <row r="122" spans="1:28" x14ac:dyDescent="0.25">
      <c r="A122">
        <v>1246</v>
      </c>
      <c r="B122" s="1">
        <v>45448</v>
      </c>
      <c r="C122" t="s">
        <v>308</v>
      </c>
      <c r="D122">
        <v>4.71</v>
      </c>
      <c r="E122">
        <v>905</v>
      </c>
      <c r="F122" t="s">
        <v>94</v>
      </c>
      <c r="G122" t="s">
        <v>309</v>
      </c>
      <c r="H122">
        <v>5015</v>
      </c>
      <c r="I122">
        <f>VLOOKUP(H122,Sheet1!H:AE,2)</f>
        <v>2</v>
      </c>
      <c r="J122" t="str">
        <f>VLOOKUP(H122,Sheet1!H:T,3,FALSE)</f>
        <v>22"</v>
      </c>
      <c r="K122">
        <f>VLOOKUP($H122,Sheet1!H:$AE,4,FALSE)</f>
        <v>100000</v>
      </c>
      <c r="L122" t="str">
        <f>VLOOKUP($H122,Sheet1!$H:$AE,5,FALSE)</f>
        <v>Zorro</v>
      </c>
      <c r="M122">
        <f>VLOOKUP($H122,Sheet1!$H:$AE,13,FALSE)</f>
        <v>1813</v>
      </c>
      <c r="N122">
        <v>2743.3960838775101</v>
      </c>
      <c r="O122">
        <v>1591810.0089223899</v>
      </c>
      <c r="P122">
        <v>16913.102097486601</v>
      </c>
      <c r="Q122">
        <v>15484586.673693901</v>
      </c>
      <c r="R122">
        <v>0.35806404814468401</v>
      </c>
      <c r="S122">
        <v>2.5413581420047999E-3</v>
      </c>
      <c r="T122">
        <v>0.22436651392446499</v>
      </c>
      <c r="U122">
        <v>3.0908263650503802E-3</v>
      </c>
      <c r="V122">
        <v>0.90555380655197304</v>
      </c>
      <c r="W122">
        <v>8.5526109991212906E-2</v>
      </c>
      <c r="X122">
        <v>0.60300735273818096</v>
      </c>
      <c r="Y122">
        <v>0.239389485282332</v>
      </c>
      <c r="Z122">
        <v>8.5872909838574096E-2</v>
      </c>
      <c r="AA122">
        <v>8.7433742098954204E-4</v>
      </c>
      <c r="AB122">
        <v>60</v>
      </c>
    </row>
    <row r="123" spans="1:28" x14ac:dyDescent="0.25">
      <c r="A123">
        <v>1247</v>
      </c>
      <c r="B123" s="1">
        <v>45448</v>
      </c>
      <c r="C123" t="s">
        <v>310</v>
      </c>
      <c r="D123">
        <v>4.71</v>
      </c>
      <c r="E123">
        <v>905</v>
      </c>
      <c r="F123" t="s">
        <v>97</v>
      </c>
      <c r="G123" t="s">
        <v>311</v>
      </c>
      <c r="H123">
        <v>6015</v>
      </c>
      <c r="I123">
        <f>VLOOKUP(H123,Sheet1!H:AE,2)</f>
        <v>2</v>
      </c>
      <c r="J123" t="str">
        <f>VLOOKUP(H123,Sheet1!H:T,3,FALSE)</f>
        <v>22"</v>
      </c>
      <c r="K123">
        <f>VLOOKUP($H123,Sheet1!H:$AE,4,FALSE)</f>
        <v>100000</v>
      </c>
      <c r="L123" t="str">
        <f>VLOOKUP($H123,Sheet1!$H:$AE,5,FALSE)</f>
        <v>Apex</v>
      </c>
      <c r="M123">
        <f>VLOOKUP($H123,Sheet1!$H:$AE,13,FALSE)</f>
        <v>1669</v>
      </c>
      <c r="N123">
        <v>2761.1995725485599</v>
      </c>
      <c r="O123">
        <v>1320665.78567407</v>
      </c>
      <c r="P123">
        <v>16847.4078076718</v>
      </c>
      <c r="Q123">
        <v>15295567.282615799</v>
      </c>
      <c r="R123">
        <v>0.35332997093225998</v>
      </c>
      <c r="S123">
        <v>2.0957033257304101E-3</v>
      </c>
      <c r="T123">
        <v>0.218710339676885</v>
      </c>
      <c r="U123">
        <v>2.2736155270873001E-3</v>
      </c>
      <c r="V123">
        <v>0.74446769504268395</v>
      </c>
      <c r="W123">
        <v>0.190235546080643</v>
      </c>
      <c r="X123">
        <v>0.28004159534721002</v>
      </c>
      <c r="Y123">
        <v>0.201618300222769</v>
      </c>
      <c r="Z123">
        <v>9.3056265944980301E-2</v>
      </c>
      <c r="AA123">
        <v>9.3336123640364304E-4</v>
      </c>
      <c r="AB123">
        <v>37</v>
      </c>
    </row>
    <row r="124" spans="1:28" x14ac:dyDescent="0.25">
      <c r="A124">
        <v>1248</v>
      </c>
      <c r="B124" s="1">
        <v>45448</v>
      </c>
      <c r="C124" t="s">
        <v>312</v>
      </c>
      <c r="D124">
        <v>4.71</v>
      </c>
      <c r="E124">
        <v>905</v>
      </c>
      <c r="F124" t="s">
        <v>100</v>
      </c>
      <c r="G124" t="s">
        <v>313</v>
      </c>
      <c r="H124">
        <v>7015</v>
      </c>
      <c r="I124">
        <f>VLOOKUP(H124,Sheet1!H:AE,2)</f>
        <v>2</v>
      </c>
      <c r="J124" t="str">
        <f>VLOOKUP(H124,Sheet1!H:T,3,FALSE)</f>
        <v>22"</v>
      </c>
      <c r="K124">
        <f>VLOOKUP($H124,Sheet1!H:$AE,4,FALSE)</f>
        <v>100000</v>
      </c>
      <c r="L124" t="str">
        <f>VLOOKUP($H124,Sheet1!$H:$AE,5,FALSE)</f>
        <v>T9905</v>
      </c>
      <c r="M124">
        <f>VLOOKUP($H124,Sheet1!$H:$AE,13,FALSE)</f>
        <v>2064</v>
      </c>
      <c r="N124">
        <v>2735.5379940706598</v>
      </c>
      <c r="O124">
        <v>1833555.5305152701</v>
      </c>
      <c r="P124">
        <v>17091.411397031901</v>
      </c>
      <c r="Q124">
        <v>17231127.167114399</v>
      </c>
      <c r="R124">
        <v>0.34877820755014999</v>
      </c>
      <c r="S124">
        <v>2.4842631266787699E-3</v>
      </c>
      <c r="T124">
        <v>0.22750107062088501</v>
      </c>
      <c r="U124">
        <v>2.4021737943984698E-3</v>
      </c>
      <c r="V124">
        <v>0.85207407407407398</v>
      </c>
      <c r="W124">
        <v>0.12604384636486199</v>
      </c>
      <c r="X124">
        <v>0.29191552017668898</v>
      </c>
      <c r="Y124">
        <v>0.206700849256371</v>
      </c>
      <c r="Z124">
        <v>9.8175988430529396E-2</v>
      </c>
      <c r="AA124">
        <v>1.0032233712173801E-3</v>
      </c>
      <c r="AB124">
        <v>41</v>
      </c>
    </row>
    <row r="125" spans="1:28" x14ac:dyDescent="0.25">
      <c r="A125">
        <v>1249</v>
      </c>
      <c r="B125" s="1">
        <v>45448</v>
      </c>
      <c r="C125" t="s">
        <v>314</v>
      </c>
      <c r="D125">
        <v>4.71</v>
      </c>
      <c r="E125">
        <v>905</v>
      </c>
      <c r="F125" t="s">
        <v>103</v>
      </c>
      <c r="G125" t="s">
        <v>315</v>
      </c>
      <c r="H125">
        <v>8015</v>
      </c>
      <c r="I125">
        <f>VLOOKUP(H125,Sheet1!H:AE,2)</f>
        <v>2</v>
      </c>
      <c r="J125" t="str">
        <f>VLOOKUP(H125,Sheet1!H:T,3,FALSE)</f>
        <v>22"</v>
      </c>
      <c r="K125">
        <f>VLOOKUP($H125,Sheet1!H:$AE,4,FALSE)</f>
        <v>100000</v>
      </c>
      <c r="L125" t="str">
        <f>VLOOKUP($H125,Sheet1!$H:$AE,5,FALSE)</f>
        <v>Ronnies red</v>
      </c>
      <c r="M125">
        <f>VLOOKUP($H125,Sheet1!$H:$AE,13,FALSE)</f>
        <v>769</v>
      </c>
      <c r="N125">
        <v>2822.76158535985</v>
      </c>
      <c r="O125">
        <v>2401048.89013915</v>
      </c>
      <c r="P125">
        <v>16752.969429533601</v>
      </c>
      <c r="Q125">
        <v>17903739.590939399</v>
      </c>
      <c r="R125">
        <v>0.31136624977079902</v>
      </c>
      <c r="S125">
        <v>3.3462597102899699E-3</v>
      </c>
      <c r="T125">
        <v>0.222704709385115</v>
      </c>
      <c r="U125">
        <v>4.1747766552526801E-3</v>
      </c>
      <c r="V125">
        <v>0.99996296296296305</v>
      </c>
      <c r="W125" s="2">
        <v>3.7035665294919897E-5</v>
      </c>
      <c r="X125">
        <v>0.73410511010702395</v>
      </c>
      <c r="Y125">
        <v>0.19519479742132401</v>
      </c>
      <c r="Z125">
        <v>9.6373351045459299E-2</v>
      </c>
      <c r="AA125">
        <v>9.1612187112057898E-4</v>
      </c>
      <c r="AB125">
        <v>58</v>
      </c>
    </row>
    <row r="126" spans="1:28" x14ac:dyDescent="0.25">
      <c r="A126">
        <v>1250</v>
      </c>
      <c r="B126" s="1">
        <v>45448</v>
      </c>
      <c r="C126" t="s">
        <v>316</v>
      </c>
      <c r="D126">
        <v>4.71</v>
      </c>
      <c r="E126">
        <v>905</v>
      </c>
      <c r="F126" t="s">
        <v>106</v>
      </c>
      <c r="G126" t="s">
        <v>317</v>
      </c>
      <c r="H126">
        <v>9015</v>
      </c>
      <c r="I126">
        <f>VLOOKUP(H126,Sheet1!H:AE,2)</f>
        <v>3</v>
      </c>
      <c r="J126" t="str">
        <f>VLOOKUP(H126,Sheet1!H:T,3,FALSE)</f>
        <v>22"</v>
      </c>
      <c r="K126">
        <f>VLOOKUP($H126,Sheet1!H:$AE,4,FALSE)</f>
        <v>100000</v>
      </c>
      <c r="L126" t="str">
        <f>VLOOKUP($H126,Sheet1!$H:$AE,5,FALSE)</f>
        <v>Eclipse</v>
      </c>
      <c r="M126">
        <f>VLOOKUP($H126,Sheet1!$H:$AE,13,FALSE)</f>
        <v>2041</v>
      </c>
      <c r="N126">
        <v>2597.2915041563301</v>
      </c>
      <c r="O126">
        <v>1527692.2631224601</v>
      </c>
      <c r="P126">
        <v>16263.5688233653</v>
      </c>
      <c r="Q126">
        <v>17053873.5462461</v>
      </c>
      <c r="R126">
        <v>0.360042442909495</v>
      </c>
      <c r="S126">
        <v>2.7138996825653802E-3</v>
      </c>
      <c r="T126">
        <v>0.23989250980934201</v>
      </c>
      <c r="U126">
        <v>2.9314908692182301E-3</v>
      </c>
      <c r="V126">
        <v>0.99474083813262704</v>
      </c>
      <c r="W126">
        <v>5.2315030838259099E-3</v>
      </c>
      <c r="X126">
        <v>0.62618482321977398</v>
      </c>
      <c r="Y126">
        <v>0.23407739038869499</v>
      </c>
      <c r="Z126">
        <v>0.10209411788841601</v>
      </c>
      <c r="AA126">
        <v>8.5563714117808899E-4</v>
      </c>
      <c r="AB126">
        <v>82</v>
      </c>
    </row>
    <row r="127" spans="1:28" x14ac:dyDescent="0.25">
      <c r="A127">
        <v>1251</v>
      </c>
      <c r="B127" s="1">
        <v>45448</v>
      </c>
      <c r="C127" t="s">
        <v>318</v>
      </c>
      <c r="D127">
        <v>4.71</v>
      </c>
      <c r="E127">
        <v>905</v>
      </c>
      <c r="F127" t="s">
        <v>109</v>
      </c>
      <c r="G127" s="2" t="s">
        <v>319</v>
      </c>
      <c r="H127">
        <v>10015</v>
      </c>
      <c r="I127">
        <f>VLOOKUP(H127,Sheet1!H:AE,2)</f>
        <v>3</v>
      </c>
      <c r="J127" t="str">
        <f>VLOOKUP(H127,Sheet1!H:T,3,FALSE)</f>
        <v>22"</v>
      </c>
      <c r="K127">
        <f>VLOOKUP($H127,Sheet1!H:$AE,4,FALSE)</f>
        <v>100000</v>
      </c>
      <c r="L127" t="str">
        <f>VLOOKUP($H127,Sheet1!$H:$AE,5,FALSE)</f>
        <v>Cayenne</v>
      </c>
      <c r="M127">
        <f>VLOOKUP($H127,Sheet1!$H:$AE,13,FALSE)</f>
        <v>2138</v>
      </c>
      <c r="N127">
        <v>2553.0606433693201</v>
      </c>
      <c r="O127">
        <v>1653133.96083459</v>
      </c>
      <c r="P127">
        <v>16368.6951469702</v>
      </c>
      <c r="Q127">
        <v>19734107.007471599</v>
      </c>
      <c r="R127">
        <v>0.37954284694288598</v>
      </c>
      <c r="S127">
        <v>3.5510973574041302E-3</v>
      </c>
      <c r="T127">
        <v>0.25167334349978498</v>
      </c>
      <c r="U127">
        <v>4.4906083071217301E-3</v>
      </c>
      <c r="V127">
        <v>1</v>
      </c>
      <c r="W127">
        <v>0</v>
      </c>
      <c r="X127">
        <v>0.59025445175539504</v>
      </c>
      <c r="Y127">
        <v>0.24185413393792199</v>
      </c>
      <c r="Z127">
        <v>7.7678776515304901E-2</v>
      </c>
      <c r="AA127">
        <v>1.12397102936487E-3</v>
      </c>
      <c r="AB127">
        <v>79</v>
      </c>
    </row>
    <row r="128" spans="1:28" x14ac:dyDescent="0.25">
      <c r="A128">
        <v>1252</v>
      </c>
      <c r="B128" s="1">
        <v>45448</v>
      </c>
      <c r="C128" t="s">
        <v>320</v>
      </c>
      <c r="D128">
        <v>4.71</v>
      </c>
      <c r="E128">
        <v>905</v>
      </c>
      <c r="F128" t="s">
        <v>112</v>
      </c>
      <c r="G128" t="s">
        <v>321</v>
      </c>
      <c r="H128">
        <v>11015</v>
      </c>
      <c r="I128">
        <f>VLOOKUP(H128,Sheet1!H:AE,2)</f>
        <v>3</v>
      </c>
      <c r="J128" t="str">
        <f>VLOOKUP(H128,Sheet1!H:T,3,FALSE)</f>
        <v>22"</v>
      </c>
      <c r="K128">
        <f>VLOOKUP($H128,Sheet1!H:$AE,4,FALSE)</f>
        <v>100000</v>
      </c>
      <c r="L128" t="str">
        <f>VLOOKUP($H128,Sheet1!$H:$AE,5,FALSE)</f>
        <v>black bear</v>
      </c>
      <c r="M128">
        <f>VLOOKUP($H128,Sheet1!$H:$AE,13,FALSE)</f>
        <v>2211</v>
      </c>
      <c r="N128">
        <v>2544.11266731673</v>
      </c>
      <c r="O128">
        <v>1036300.12264672</v>
      </c>
      <c r="P128">
        <v>16796.214289482999</v>
      </c>
      <c r="Q128">
        <v>14651070.4787827</v>
      </c>
      <c r="R128">
        <v>0.35051280848231298</v>
      </c>
      <c r="S128">
        <v>2.3821643150001002E-3</v>
      </c>
      <c r="T128">
        <v>0.21837004435950499</v>
      </c>
      <c r="U128">
        <v>2.6093376255621301E-3</v>
      </c>
      <c r="V128">
        <v>0.995666506166895</v>
      </c>
      <c r="W128">
        <v>4.3147146643044204E-3</v>
      </c>
      <c r="X128">
        <v>0.59161643583490497</v>
      </c>
      <c r="Y128">
        <v>0.24160642868521601</v>
      </c>
      <c r="Z128">
        <v>0.116475845461096</v>
      </c>
      <c r="AA128">
        <v>8.8454664812347703E-4</v>
      </c>
      <c r="AB128">
        <v>60</v>
      </c>
    </row>
    <row r="129" spans="1:28" x14ac:dyDescent="0.25">
      <c r="A129">
        <v>1253</v>
      </c>
      <c r="B129" s="1">
        <v>45448</v>
      </c>
      <c r="C129" t="s">
        <v>322</v>
      </c>
      <c r="D129">
        <v>4.71</v>
      </c>
      <c r="E129">
        <v>905</v>
      </c>
      <c r="F129" t="s">
        <v>115</v>
      </c>
      <c r="G129" t="s">
        <v>323</v>
      </c>
      <c r="H129">
        <v>12015</v>
      </c>
      <c r="I129">
        <f>VLOOKUP(H129,Sheet1!H:AE,2)</f>
        <v>3</v>
      </c>
      <c r="J129" t="str">
        <f>VLOOKUP(H129,Sheet1!H:T,3,FALSE)</f>
        <v>22"</v>
      </c>
      <c r="K129">
        <f>VLOOKUP($H129,Sheet1!H:$AE,4,FALSE)</f>
        <v>100000</v>
      </c>
      <c r="L129" t="str">
        <f>VLOOKUP($H129,Sheet1!$H:$AE,5,FALSE)</f>
        <v>ETNA</v>
      </c>
      <c r="M129">
        <f>VLOOKUP($H129,Sheet1!$H:$AE,13,FALSE)</f>
        <v>868</v>
      </c>
      <c r="N129">
        <v>2650.9418508450499</v>
      </c>
      <c r="O129">
        <v>1587792.9464670201</v>
      </c>
      <c r="P129">
        <v>16570.095537299399</v>
      </c>
      <c r="Q129">
        <v>18496891.284971699</v>
      </c>
      <c r="R129">
        <v>0.36648041730154401</v>
      </c>
      <c r="S129">
        <v>3.0457424178248101E-3</v>
      </c>
      <c r="T129">
        <v>0.22976882458102699</v>
      </c>
      <c r="U129">
        <v>4.0067023090344604E-3</v>
      </c>
      <c r="V129">
        <v>0.99864817318197796</v>
      </c>
      <c r="W129">
        <v>1.34999938227596E-3</v>
      </c>
      <c r="X129">
        <v>0.65477669491915302</v>
      </c>
      <c r="Y129">
        <v>0.22604417471038599</v>
      </c>
      <c r="Z129">
        <v>0.101541433721954</v>
      </c>
      <c r="AA129">
        <v>8.1137284474565199E-4</v>
      </c>
      <c r="AB129">
        <v>72</v>
      </c>
    </row>
    <row r="130" spans="1:28" x14ac:dyDescent="0.25">
      <c r="A130">
        <v>1254</v>
      </c>
      <c r="B130" s="1">
        <v>45448</v>
      </c>
      <c r="C130" t="s">
        <v>324</v>
      </c>
      <c r="D130">
        <v>4.71</v>
      </c>
      <c r="E130">
        <v>905</v>
      </c>
      <c r="F130" t="s">
        <v>118</v>
      </c>
      <c r="G130" t="s">
        <v>325</v>
      </c>
      <c r="H130">
        <v>13015</v>
      </c>
      <c r="I130">
        <f>VLOOKUP(H130,Sheet1!H:AE,2)</f>
        <v>3</v>
      </c>
      <c r="J130" t="str">
        <f>VLOOKUP(H130,Sheet1!H:T,3,FALSE)</f>
        <v>22"</v>
      </c>
      <c r="K130">
        <f>VLOOKUP($H130,Sheet1!H:$AE,4,FALSE)</f>
        <v>100000</v>
      </c>
      <c r="L130" t="str">
        <f>VLOOKUP($H130,Sheet1!$H:$AE,5,FALSE)</f>
        <v>Redhawk</v>
      </c>
      <c r="M130">
        <f>VLOOKUP($H130,Sheet1!$H:$AE,13,FALSE)</f>
        <v>494</v>
      </c>
      <c r="N130">
        <v>2736.6615548267</v>
      </c>
      <c r="O130">
        <v>1531081.45513447</v>
      </c>
      <c r="P130">
        <v>16606.816561416599</v>
      </c>
      <c r="Q130">
        <v>18808517.495781198</v>
      </c>
      <c r="R130">
        <v>0.36097000722431999</v>
      </c>
      <c r="S130">
        <v>2.6829566674506401E-3</v>
      </c>
      <c r="T130">
        <v>0.22630729498393601</v>
      </c>
      <c r="U130">
        <v>3.164174965559E-3</v>
      </c>
      <c r="V130">
        <v>0.999888886831238</v>
      </c>
      <c r="W130">
        <v>1.1110082262610201E-4</v>
      </c>
      <c r="X130">
        <v>0.72244973082409203</v>
      </c>
      <c r="Y130">
        <v>0.20051611725634799</v>
      </c>
      <c r="Z130">
        <v>0.103874357476333</v>
      </c>
      <c r="AA130">
        <v>1.07566446606724E-3</v>
      </c>
      <c r="AB130">
        <v>74</v>
      </c>
    </row>
    <row r="131" spans="1:28" x14ac:dyDescent="0.25">
      <c r="A131">
        <v>1255</v>
      </c>
      <c r="B131" s="1">
        <v>45448</v>
      </c>
      <c r="C131" t="s">
        <v>326</v>
      </c>
      <c r="D131">
        <v>4.71</v>
      </c>
      <c r="E131">
        <v>905</v>
      </c>
      <c r="F131" t="s">
        <v>121</v>
      </c>
      <c r="G131" t="s">
        <v>327</v>
      </c>
      <c r="H131">
        <v>14015</v>
      </c>
      <c r="I131">
        <f>VLOOKUP(H131,Sheet1!H:AE,2)</f>
        <v>3</v>
      </c>
      <c r="J131" t="str">
        <f>VLOOKUP(H131,Sheet1!H:T,3,FALSE)</f>
        <v>22"</v>
      </c>
      <c r="K131">
        <f>VLOOKUP($H131,Sheet1!H:$AE,4,FALSE)</f>
        <v>100000</v>
      </c>
      <c r="L131" t="str">
        <f>VLOOKUP($H131,Sheet1!$H:$AE,5,FALSE)</f>
        <v>Windbreaker</v>
      </c>
      <c r="M131">
        <f>VLOOKUP($H131,Sheet1!$H:$AE,13,FALSE)</f>
        <v>1567</v>
      </c>
      <c r="N131">
        <v>2692.89900621485</v>
      </c>
      <c r="O131">
        <v>1785297.6488206401</v>
      </c>
      <c r="P131">
        <v>16033.132977116</v>
      </c>
      <c r="Q131">
        <v>17462609.0595362</v>
      </c>
      <c r="R131">
        <v>0.36908444276165597</v>
      </c>
      <c r="S131">
        <v>3.03660254108258E-3</v>
      </c>
      <c r="T131">
        <v>0.23809460740268201</v>
      </c>
      <c r="U131">
        <v>3.8012618442559401E-3</v>
      </c>
      <c r="V131">
        <v>1</v>
      </c>
      <c r="W131">
        <v>0</v>
      </c>
      <c r="X131">
        <v>0.76815408541691499</v>
      </c>
      <c r="Y131">
        <v>0.17809338647461501</v>
      </c>
      <c r="Z131">
        <v>0.100795516765079</v>
      </c>
      <c r="AA131">
        <v>1.1483676572164199E-3</v>
      </c>
      <c r="AB131">
        <v>69</v>
      </c>
    </row>
    <row r="132" spans="1:28" x14ac:dyDescent="0.25">
      <c r="A132">
        <v>1256</v>
      </c>
      <c r="B132" s="1">
        <v>45448</v>
      </c>
      <c r="C132" t="s">
        <v>328</v>
      </c>
      <c r="D132">
        <v>4.71</v>
      </c>
      <c r="E132">
        <v>905</v>
      </c>
      <c r="F132" t="s">
        <v>124</v>
      </c>
      <c r="G132" t="s">
        <v>329</v>
      </c>
      <c r="H132">
        <v>15015</v>
      </c>
      <c r="I132">
        <f>VLOOKUP(H132,Sheet1!H:AE,2)</f>
        <v>3</v>
      </c>
      <c r="J132" t="str">
        <f>VLOOKUP(H132,Sheet1!H:T,3,FALSE)</f>
        <v>22"</v>
      </c>
      <c r="K132">
        <f>VLOOKUP($H132,Sheet1!H:$AE,4,FALSE)</f>
        <v>100000</v>
      </c>
      <c r="L132" t="str">
        <f>VLOOKUP($H132,Sheet1!$H:$AE,5,FALSE)</f>
        <v>Merlot</v>
      </c>
      <c r="M132">
        <f>VLOOKUP($H132,Sheet1!$H:$AE,13,FALSE)</f>
        <v>1327</v>
      </c>
      <c r="N132">
        <v>2254.9945236782</v>
      </c>
      <c r="O132">
        <v>1266857.8264218001</v>
      </c>
      <c r="P132">
        <v>16285.452657762</v>
      </c>
      <c r="Q132">
        <v>16529773.448608501</v>
      </c>
      <c r="R132">
        <v>0.38471563272433601</v>
      </c>
      <c r="S132">
        <v>2.4093565571979602E-3</v>
      </c>
      <c r="T132">
        <v>0.23786282329605299</v>
      </c>
      <c r="U132">
        <v>2.5952019799265601E-3</v>
      </c>
      <c r="V132">
        <v>0.94194229415904296</v>
      </c>
      <c r="W132">
        <v>5.4687008633534803E-2</v>
      </c>
      <c r="X132">
        <v>0.29334462195391298</v>
      </c>
      <c r="Y132">
        <v>0.20729355472460301</v>
      </c>
      <c r="Z132">
        <v>8.4192931908469798E-2</v>
      </c>
      <c r="AA132">
        <v>2.9695728572760498E-3</v>
      </c>
      <c r="AB132">
        <v>46</v>
      </c>
    </row>
    <row r="133" spans="1:28" x14ac:dyDescent="0.25">
      <c r="A133">
        <v>1257</v>
      </c>
      <c r="B133" s="1">
        <v>45448</v>
      </c>
      <c r="C133" t="s">
        <v>330</v>
      </c>
      <c r="D133">
        <v>4.71</v>
      </c>
      <c r="E133">
        <v>905</v>
      </c>
      <c r="F133" t="s">
        <v>82</v>
      </c>
      <c r="G133" t="s">
        <v>331</v>
      </c>
      <c r="H133">
        <v>1019</v>
      </c>
      <c r="I133">
        <f>VLOOKUP(H133,Sheet1!H:AE,2)</f>
        <v>1</v>
      </c>
      <c r="J133" t="str">
        <f>VLOOKUP(H133,Sheet1!H:T,3,FALSE)</f>
        <v>22"</v>
      </c>
      <c r="K133">
        <f>VLOOKUP($H133,Sheet1!H:$AE,4,FALSE)</f>
        <v>75000</v>
      </c>
      <c r="L133" t="str">
        <f>VLOOKUP($H133,Sheet1!$H:$AE,5,FALSE)</f>
        <v>Ronnies red</v>
      </c>
      <c r="M133">
        <f>VLOOKUP($H133,Sheet1!$H:$AE,13,FALSE)</f>
        <v>264</v>
      </c>
      <c r="N133">
        <v>2402.3961548689599</v>
      </c>
      <c r="O133">
        <v>1436855.0740942101</v>
      </c>
      <c r="P133">
        <v>16445.255252419902</v>
      </c>
      <c r="Q133">
        <v>14642972.890055699</v>
      </c>
      <c r="R133">
        <v>0.36206854415191903</v>
      </c>
      <c r="S133">
        <v>2.5338215420086302E-3</v>
      </c>
      <c r="T133">
        <v>0.22616915412458199</v>
      </c>
      <c r="U133">
        <v>2.9201847782329899E-3</v>
      </c>
      <c r="V133">
        <v>0.99327765328987605</v>
      </c>
      <c r="W133">
        <v>6.6771567648320797E-3</v>
      </c>
      <c r="X133">
        <v>0.224520783678577</v>
      </c>
      <c r="Y133">
        <v>0.174111201374925</v>
      </c>
      <c r="Z133">
        <v>0</v>
      </c>
      <c r="AA133">
        <v>0</v>
      </c>
      <c r="AB133">
        <v>46</v>
      </c>
    </row>
    <row r="134" spans="1:28" x14ac:dyDescent="0.25">
      <c r="A134">
        <v>1258</v>
      </c>
      <c r="B134" s="1">
        <v>45448</v>
      </c>
      <c r="C134" t="s">
        <v>332</v>
      </c>
      <c r="D134">
        <v>4.71</v>
      </c>
      <c r="E134">
        <v>905</v>
      </c>
      <c r="F134" t="s">
        <v>85</v>
      </c>
      <c r="G134" t="s">
        <v>333</v>
      </c>
      <c r="H134">
        <v>2019</v>
      </c>
      <c r="I134">
        <f>VLOOKUP(H134,Sheet1!H:AE,2)</f>
        <v>1</v>
      </c>
      <c r="J134" t="str">
        <f>VLOOKUP(H134,Sheet1!H:T,3,FALSE)</f>
        <v>22"</v>
      </c>
      <c r="K134">
        <f>VLOOKUP($H134,Sheet1!H:$AE,4,FALSE)</f>
        <v>75000</v>
      </c>
      <c r="L134" t="str">
        <f>VLOOKUP($H134,Sheet1!$H:$AE,5,FALSE)</f>
        <v>CLERK</v>
      </c>
      <c r="M134">
        <f>VLOOKUP($H134,Sheet1!$H:$AE,13,FALSE)</f>
        <v>813</v>
      </c>
      <c r="N134">
        <v>2540.0881512853298</v>
      </c>
      <c r="O134">
        <v>1374224.6730724899</v>
      </c>
      <c r="P134">
        <v>16590.453415000298</v>
      </c>
      <c r="Q134">
        <v>15067644.266548701</v>
      </c>
      <c r="R134">
        <v>0.34851804900262101</v>
      </c>
      <c r="S134">
        <v>2.16839585862265E-3</v>
      </c>
      <c r="T134">
        <v>0.21560463395169099</v>
      </c>
      <c r="U134">
        <v>2.56566126678679E-3</v>
      </c>
      <c r="V134">
        <v>0.999907409122053</v>
      </c>
      <c r="W134" s="2">
        <v>9.2582304875705196E-5</v>
      </c>
      <c r="X134">
        <v>0.45658175660752398</v>
      </c>
      <c r="Y134">
        <v>0.24811485614023199</v>
      </c>
      <c r="Z134">
        <v>0.10455132394219099</v>
      </c>
      <c r="AA134">
        <v>9.9505154427514996E-4</v>
      </c>
      <c r="AB134">
        <v>57</v>
      </c>
    </row>
    <row r="135" spans="1:28" x14ac:dyDescent="0.25">
      <c r="A135">
        <v>1259</v>
      </c>
      <c r="B135" s="1">
        <v>45448</v>
      </c>
      <c r="C135" t="s">
        <v>334</v>
      </c>
      <c r="D135">
        <v>4.71</v>
      </c>
      <c r="E135">
        <v>905</v>
      </c>
      <c r="F135" t="s">
        <v>88</v>
      </c>
      <c r="G135" t="s">
        <v>335</v>
      </c>
      <c r="H135">
        <v>3019</v>
      </c>
      <c r="I135">
        <f>VLOOKUP(H135,Sheet1!H:AE,2)</f>
        <v>1</v>
      </c>
      <c r="J135" t="str">
        <f>VLOOKUP(H135,Sheet1!H:T,3,FALSE)</f>
        <v>22"</v>
      </c>
      <c r="K135">
        <f>VLOOKUP($H135,Sheet1!H:$AE,4,FALSE)</f>
        <v>75000</v>
      </c>
      <c r="L135" t="str">
        <f>VLOOKUP($H135,Sheet1!$H:$AE,5,FALSE)</f>
        <v>black bear</v>
      </c>
      <c r="M135">
        <f>VLOOKUP($H135,Sheet1!$H:$AE,13,FALSE)</f>
        <v>1885</v>
      </c>
      <c r="N135">
        <v>2335.2927422611401</v>
      </c>
      <c r="O135">
        <v>1266504.63480663</v>
      </c>
      <c r="P135">
        <v>16477.646038288702</v>
      </c>
      <c r="Q135">
        <v>15965437.6341612</v>
      </c>
      <c r="R135">
        <v>0.36111618754267</v>
      </c>
      <c r="S135">
        <v>2.6209076588053302E-3</v>
      </c>
      <c r="T135">
        <v>0.23552192482308601</v>
      </c>
      <c r="U135">
        <v>2.6982826474074599E-3</v>
      </c>
      <c r="V135">
        <v>0.89431872893596498</v>
      </c>
      <c r="W135">
        <v>9.4512740010337395E-2</v>
      </c>
      <c r="X135">
        <v>0.45347125082824102</v>
      </c>
      <c r="Y135">
        <v>0.24783507550022699</v>
      </c>
      <c r="Z135">
        <v>9.4957034091235501E-2</v>
      </c>
      <c r="AA135">
        <v>8.4252624967331795E-4</v>
      </c>
      <c r="AB135">
        <v>40</v>
      </c>
    </row>
    <row r="136" spans="1:28" x14ac:dyDescent="0.25">
      <c r="A136">
        <v>1260</v>
      </c>
      <c r="B136" s="1">
        <v>45448</v>
      </c>
      <c r="C136" t="s">
        <v>336</v>
      </c>
      <c r="D136">
        <v>4.71</v>
      </c>
      <c r="E136">
        <v>905</v>
      </c>
      <c r="F136" t="s">
        <v>91</v>
      </c>
      <c r="G136" t="s">
        <v>337</v>
      </c>
      <c r="H136">
        <v>4019</v>
      </c>
      <c r="I136">
        <f>VLOOKUP(H136,Sheet1!H:AE,2)</f>
        <v>1</v>
      </c>
      <c r="J136" t="str">
        <f>VLOOKUP(H136,Sheet1!H:T,3,FALSE)</f>
        <v>22"</v>
      </c>
      <c r="K136">
        <f>VLOOKUP($H136,Sheet1!H:$AE,4,FALSE)</f>
        <v>75000</v>
      </c>
      <c r="L136" t="str">
        <f>VLOOKUP($H136,Sheet1!$H:$AE,5,FALSE)</f>
        <v>Nautica</v>
      </c>
      <c r="M136">
        <f>VLOOKUP($H136,Sheet1!$H:$AE,13,FALSE)</f>
        <v>2206</v>
      </c>
      <c r="N136">
        <v>2583.6896218888801</v>
      </c>
      <c r="O136">
        <v>1983192.65580018</v>
      </c>
      <c r="P136">
        <v>16414.971614911701</v>
      </c>
      <c r="Q136">
        <v>14437091.1851459</v>
      </c>
      <c r="R136">
        <v>0.35603410600630397</v>
      </c>
      <c r="S136">
        <v>2.2194766800408502E-3</v>
      </c>
      <c r="T136">
        <v>0.22996858032449399</v>
      </c>
      <c r="U136">
        <v>2.8832136785004402E-3</v>
      </c>
      <c r="V136">
        <v>0.97212911350210196</v>
      </c>
      <c r="W136">
        <v>2.7094100183730901E-2</v>
      </c>
      <c r="X136">
        <v>0.367815139970183</v>
      </c>
      <c r="Y136">
        <v>0.23252716277869501</v>
      </c>
      <c r="Z136">
        <v>9.0307155243878806E-2</v>
      </c>
      <c r="AA136">
        <v>9.5910824056944801E-4</v>
      </c>
      <c r="AB136">
        <v>57</v>
      </c>
    </row>
    <row r="137" spans="1:28" x14ac:dyDescent="0.25">
      <c r="A137">
        <v>1261</v>
      </c>
      <c r="B137" s="1">
        <v>45448</v>
      </c>
      <c r="C137" t="s">
        <v>338</v>
      </c>
      <c r="D137">
        <v>4.71</v>
      </c>
      <c r="E137">
        <v>905</v>
      </c>
      <c r="F137" t="s">
        <v>94</v>
      </c>
      <c r="G137" t="s">
        <v>339</v>
      </c>
      <c r="H137">
        <v>5019</v>
      </c>
      <c r="I137">
        <f>VLOOKUP(H137,Sheet1!H:AE,2)</f>
        <v>2</v>
      </c>
      <c r="J137" t="str">
        <f>VLOOKUP(H137,Sheet1!H:T,3,FALSE)</f>
        <v>22"</v>
      </c>
      <c r="K137">
        <f>VLOOKUP($H137,Sheet1!H:$AE,4,FALSE)</f>
        <v>75000</v>
      </c>
      <c r="L137" t="str">
        <f>VLOOKUP($H137,Sheet1!$H:$AE,5,FALSE)</f>
        <v>ETNA</v>
      </c>
      <c r="M137">
        <f>VLOOKUP($H137,Sheet1!$H:$AE,13,FALSE)</f>
        <v>771</v>
      </c>
      <c r="N137">
        <v>2491.6992347164901</v>
      </c>
      <c r="O137">
        <v>1371116.80821161</v>
      </c>
      <c r="P137">
        <v>16221.142780660701</v>
      </c>
      <c r="Q137">
        <v>16086427.7281336</v>
      </c>
      <c r="R137">
        <v>0.35888521596824502</v>
      </c>
      <c r="S137">
        <v>2.7507262836343302E-3</v>
      </c>
      <c r="T137">
        <v>0.22388893828856299</v>
      </c>
      <c r="U137">
        <v>3.3964955206928801E-3</v>
      </c>
      <c r="V137">
        <v>0.98329722422828403</v>
      </c>
      <c r="W137">
        <v>1.6423793053233399E-2</v>
      </c>
      <c r="X137">
        <v>0.448824839416192</v>
      </c>
      <c r="Y137">
        <v>0.24738110293917301</v>
      </c>
      <c r="Z137">
        <v>8.5872909838574096E-2</v>
      </c>
      <c r="AA137">
        <v>8.7433742098954204E-4</v>
      </c>
      <c r="AB137">
        <v>56</v>
      </c>
    </row>
    <row r="138" spans="1:28" x14ac:dyDescent="0.25">
      <c r="A138">
        <v>1262</v>
      </c>
      <c r="B138" s="1">
        <v>45448</v>
      </c>
      <c r="C138" t="s">
        <v>340</v>
      </c>
      <c r="D138">
        <v>4.71</v>
      </c>
      <c r="E138">
        <v>905</v>
      </c>
      <c r="F138" t="s">
        <v>97</v>
      </c>
      <c r="G138" t="s">
        <v>341</v>
      </c>
      <c r="H138">
        <v>6019</v>
      </c>
      <c r="I138">
        <f>VLOOKUP(H138,Sheet1!H:AE,2)</f>
        <v>2</v>
      </c>
      <c r="J138" t="str">
        <f>VLOOKUP(H138,Sheet1!H:T,3,FALSE)</f>
        <v>22"</v>
      </c>
      <c r="K138">
        <f>VLOOKUP($H138,Sheet1!H:$AE,4,FALSE)</f>
        <v>75000</v>
      </c>
      <c r="L138" t="str">
        <f>VLOOKUP($H138,Sheet1!$H:$AE,5,FALSE)</f>
        <v>Merlot</v>
      </c>
      <c r="M138">
        <f>VLOOKUP($H138,Sheet1!$H:$AE,13,FALSE)</f>
        <v>1326</v>
      </c>
      <c r="N138">
        <v>2324.9121039308998</v>
      </c>
      <c r="O138">
        <v>1115944.1086941999</v>
      </c>
      <c r="P138">
        <v>16997.3664855233</v>
      </c>
      <c r="Q138">
        <v>16214035.3829052</v>
      </c>
      <c r="R138">
        <v>0.34947980759634401</v>
      </c>
      <c r="S138">
        <v>2.45734469728498E-3</v>
      </c>
      <c r="T138">
        <v>0.21159937251066499</v>
      </c>
      <c r="U138">
        <v>2.0804696183129201E-3</v>
      </c>
      <c r="V138">
        <v>0.88712962962963005</v>
      </c>
      <c r="W138">
        <v>0.10013064986287901</v>
      </c>
      <c r="X138">
        <v>0.324486734703267</v>
      </c>
      <c r="Y138">
        <v>0.219195093704873</v>
      </c>
      <c r="Z138">
        <v>9.3056265944980301E-2</v>
      </c>
      <c r="AA138">
        <v>9.3336123640364304E-4</v>
      </c>
      <c r="AB138">
        <v>31</v>
      </c>
    </row>
    <row r="139" spans="1:28" x14ac:dyDescent="0.25">
      <c r="A139">
        <v>1264</v>
      </c>
      <c r="B139" s="1">
        <v>45448</v>
      </c>
      <c r="C139" t="s">
        <v>342</v>
      </c>
      <c r="D139">
        <v>4.71</v>
      </c>
      <c r="E139">
        <v>905</v>
      </c>
      <c r="F139" t="s">
        <v>103</v>
      </c>
      <c r="G139" t="s">
        <v>343</v>
      </c>
      <c r="H139">
        <v>8019</v>
      </c>
      <c r="I139">
        <f>VLOOKUP(H139,Sheet1!H:AE,2)</f>
        <v>2</v>
      </c>
      <c r="J139" t="str">
        <f>VLOOKUP(H139,Sheet1!H:T,3,FALSE)</f>
        <v>22"</v>
      </c>
      <c r="K139">
        <f>VLOOKUP($H139,Sheet1!H:$AE,4,FALSE)</f>
        <v>75000</v>
      </c>
      <c r="L139" t="str">
        <f>VLOOKUP($H139,Sheet1!$H:$AE,5,FALSE)</f>
        <v>Apex</v>
      </c>
      <c r="M139">
        <f>VLOOKUP($H139,Sheet1!$H:$AE,13,FALSE)</f>
        <v>2415</v>
      </c>
      <c r="N139">
        <v>2548.3652785438499</v>
      </c>
      <c r="O139">
        <v>1799391.0696288999</v>
      </c>
      <c r="P139">
        <v>16277.976881173199</v>
      </c>
      <c r="Q139">
        <v>17052244.9781304</v>
      </c>
      <c r="R139">
        <v>0.31332903539454499</v>
      </c>
      <c r="S139">
        <v>3.1598029563339402E-3</v>
      </c>
      <c r="T139">
        <v>0.22309613284798899</v>
      </c>
      <c r="U139">
        <v>3.1895656327224301E-3</v>
      </c>
      <c r="V139">
        <v>1</v>
      </c>
      <c r="W139">
        <v>0</v>
      </c>
      <c r="X139">
        <v>0.42797982772583298</v>
      </c>
      <c r="Y139">
        <v>0.24481309478532701</v>
      </c>
      <c r="Z139">
        <v>0.104655448633582</v>
      </c>
      <c r="AA139">
        <v>1.06484887967563E-3</v>
      </c>
      <c r="AB139">
        <v>58</v>
      </c>
    </row>
    <row r="140" spans="1:28" x14ac:dyDescent="0.25">
      <c r="A140">
        <v>1265</v>
      </c>
      <c r="B140" s="1">
        <v>45448</v>
      </c>
      <c r="C140" t="s">
        <v>344</v>
      </c>
      <c r="D140">
        <v>4.71</v>
      </c>
      <c r="E140">
        <v>905</v>
      </c>
      <c r="F140" t="s">
        <v>106</v>
      </c>
      <c r="G140" t="s">
        <v>345</v>
      </c>
      <c r="H140">
        <v>9019</v>
      </c>
      <c r="I140">
        <f>VLOOKUP(H140,Sheet1!H:AE,2)</f>
        <v>3</v>
      </c>
      <c r="J140" t="str">
        <f>VLOOKUP(H140,Sheet1!H:T,3,FALSE)</f>
        <v>22"</v>
      </c>
      <c r="K140">
        <f>VLOOKUP($H140,Sheet1!H:$AE,4,FALSE)</f>
        <v>75000</v>
      </c>
      <c r="L140" t="str">
        <f>VLOOKUP($H140,Sheet1!$H:$AE,5,FALSE)</f>
        <v>Red Rover</v>
      </c>
      <c r="M140">
        <f>VLOOKUP($H140,Sheet1!$H:$AE,13,FALSE)</f>
        <v>476</v>
      </c>
      <c r="N140">
        <v>2525.1131291244001</v>
      </c>
      <c r="O140">
        <v>1353297.7096877501</v>
      </c>
      <c r="P140">
        <v>15802.110494983701</v>
      </c>
      <c r="Q140">
        <v>16078526.157420101</v>
      </c>
      <c r="R140">
        <v>0.35845134735883799</v>
      </c>
      <c r="S140">
        <v>2.60459484484926E-3</v>
      </c>
      <c r="T140">
        <v>0.23717227400456001</v>
      </c>
      <c r="U140">
        <v>3.7159137250901801E-3</v>
      </c>
      <c r="V140">
        <v>1</v>
      </c>
      <c r="W140">
        <v>0</v>
      </c>
      <c r="X140">
        <v>0.45636589518244097</v>
      </c>
      <c r="Y140">
        <v>0.248096064897355</v>
      </c>
      <c r="Z140">
        <v>0.10209411788841601</v>
      </c>
      <c r="AA140">
        <v>8.5563714117808899E-4</v>
      </c>
      <c r="AB140">
        <v>70</v>
      </c>
    </row>
    <row r="141" spans="1:28" x14ac:dyDescent="0.25">
      <c r="A141">
        <v>1266</v>
      </c>
      <c r="B141" s="1">
        <v>45448</v>
      </c>
      <c r="C141" t="s">
        <v>346</v>
      </c>
      <c r="D141">
        <v>4.71</v>
      </c>
      <c r="E141">
        <v>905</v>
      </c>
      <c r="F141" t="s">
        <v>109</v>
      </c>
      <c r="G141" t="s">
        <v>347</v>
      </c>
      <c r="H141">
        <v>10019</v>
      </c>
      <c r="I141">
        <f>VLOOKUP(H141,Sheet1!H:AE,2)</f>
        <v>3</v>
      </c>
      <c r="J141" t="str">
        <f>VLOOKUP(H141,Sheet1!H:T,3,FALSE)</f>
        <v>22"</v>
      </c>
      <c r="K141">
        <f>VLOOKUP($H141,Sheet1!H:$AE,4,FALSE)</f>
        <v>75000</v>
      </c>
      <c r="L141" t="str">
        <f>VLOOKUP($H141,Sheet1!$H:$AE,5,FALSE)</f>
        <v>T9905</v>
      </c>
      <c r="M141">
        <f>VLOOKUP($H141,Sheet1!$H:$AE,13,FALSE)</f>
        <v>1641</v>
      </c>
      <c r="N141">
        <v>2570.6912932138298</v>
      </c>
      <c r="O141">
        <v>1116202.8356860401</v>
      </c>
      <c r="P141">
        <v>16783.1521051448</v>
      </c>
      <c r="Q141">
        <v>13965266.554328499</v>
      </c>
      <c r="R141">
        <v>0.34053507456892601</v>
      </c>
      <c r="S141">
        <v>1.9714066579509999E-3</v>
      </c>
      <c r="T141">
        <v>0.21470259350299301</v>
      </c>
      <c r="U141">
        <v>1.8458761392364999E-3</v>
      </c>
      <c r="V141">
        <v>0.90755726745801002</v>
      </c>
      <c r="W141">
        <v>8.3897073741959594E-2</v>
      </c>
      <c r="X141">
        <v>0.24341784383196</v>
      </c>
      <c r="Y141">
        <v>0.184165597136181</v>
      </c>
      <c r="Z141">
        <v>7.7678776515304901E-2</v>
      </c>
      <c r="AA141">
        <v>1.12397102936487E-3</v>
      </c>
      <c r="AB141">
        <v>27</v>
      </c>
    </row>
    <row r="142" spans="1:28" x14ac:dyDescent="0.25">
      <c r="A142">
        <v>1267</v>
      </c>
      <c r="B142" s="1">
        <v>45448</v>
      </c>
      <c r="C142" t="s">
        <v>348</v>
      </c>
      <c r="D142">
        <v>4.71</v>
      </c>
      <c r="E142">
        <v>905</v>
      </c>
      <c r="F142" t="s">
        <v>112</v>
      </c>
      <c r="G142" t="s">
        <v>349</v>
      </c>
      <c r="H142">
        <v>11019</v>
      </c>
      <c r="I142">
        <f>VLOOKUP(H142,Sheet1!H:AE,2)</f>
        <v>3</v>
      </c>
      <c r="J142" t="str">
        <f>VLOOKUP(H142,Sheet1!H:T,3,FALSE)</f>
        <v>22"</v>
      </c>
      <c r="K142">
        <f>VLOOKUP($H142,Sheet1!H:$AE,4,FALSE)</f>
        <v>75000</v>
      </c>
      <c r="L142" t="str">
        <f>VLOOKUP($H142,Sheet1!$H:$AE,5,FALSE)</f>
        <v>Cayenne</v>
      </c>
      <c r="M142">
        <f>VLOOKUP($H142,Sheet1!$H:$AE,13,FALSE)</f>
        <v>1943</v>
      </c>
      <c r="N142">
        <v>2499.7169971141302</v>
      </c>
      <c r="O142">
        <v>1306862.67946577</v>
      </c>
      <c r="P142">
        <v>16689.1428157058</v>
      </c>
      <c r="Q142">
        <v>15951056.268959001</v>
      </c>
      <c r="R142">
        <v>0.35043956210038701</v>
      </c>
      <c r="S142">
        <v>2.40619526604863E-3</v>
      </c>
      <c r="T142">
        <v>0.21784577925809001</v>
      </c>
      <c r="U142">
        <v>2.3673843686385799E-3</v>
      </c>
      <c r="V142">
        <v>0.96222152262078897</v>
      </c>
      <c r="W142">
        <v>3.6351264026081798E-2</v>
      </c>
      <c r="X142">
        <v>0.38400942354413597</v>
      </c>
      <c r="Y142">
        <v>0.236546186173301</v>
      </c>
      <c r="Z142">
        <v>0.116475845461096</v>
      </c>
      <c r="AA142">
        <v>8.8454664812347703E-4</v>
      </c>
      <c r="AB142">
        <v>41</v>
      </c>
    </row>
    <row r="143" spans="1:28" x14ac:dyDescent="0.25">
      <c r="A143">
        <v>1268</v>
      </c>
      <c r="B143" s="1">
        <v>45448</v>
      </c>
      <c r="C143" t="s">
        <v>350</v>
      </c>
      <c r="D143">
        <v>4.71</v>
      </c>
      <c r="E143">
        <v>905</v>
      </c>
      <c r="F143" t="s">
        <v>115</v>
      </c>
      <c r="G143" t="s">
        <v>351</v>
      </c>
      <c r="H143">
        <v>12019</v>
      </c>
      <c r="I143">
        <f>VLOOKUP(H143,Sheet1!H:AE,2)</f>
        <v>3</v>
      </c>
      <c r="J143" t="str">
        <f>VLOOKUP(H143,Sheet1!H:T,3,FALSE)</f>
        <v>22"</v>
      </c>
      <c r="K143">
        <f>VLOOKUP($H143,Sheet1!H:$AE,4,FALSE)</f>
        <v>75000</v>
      </c>
      <c r="L143" t="str">
        <f>VLOOKUP($H143,Sheet1!$H:$AE,5,FALSE)</f>
        <v>Zorro</v>
      </c>
      <c r="M143">
        <f>VLOOKUP($H143,Sheet1!$H:$AE,13,FALSE)</f>
        <v>2172</v>
      </c>
      <c r="N143">
        <v>2493.3248694967001</v>
      </c>
      <c r="O143">
        <v>1737270.97806074</v>
      </c>
      <c r="P143">
        <v>16041.342093769899</v>
      </c>
      <c r="Q143">
        <v>18011867.777217999</v>
      </c>
      <c r="R143">
        <v>0.36394405929206802</v>
      </c>
      <c r="S143">
        <v>3.0154054791878102E-3</v>
      </c>
      <c r="T143">
        <v>0.23008334844483</v>
      </c>
      <c r="U143">
        <v>3.2529997398722901E-3</v>
      </c>
      <c r="V143">
        <v>1</v>
      </c>
      <c r="W143">
        <v>0</v>
      </c>
      <c r="X143">
        <v>0.48212395895642501</v>
      </c>
      <c r="Y143">
        <v>0.24968044715622101</v>
      </c>
      <c r="Z143">
        <v>0.101541433721954</v>
      </c>
      <c r="AA143">
        <v>8.1137284474565199E-4</v>
      </c>
      <c r="AB143">
        <v>70</v>
      </c>
    </row>
    <row r="144" spans="1:28" x14ac:dyDescent="0.25">
      <c r="A144">
        <v>1269</v>
      </c>
      <c r="B144" s="1">
        <v>45448</v>
      </c>
      <c r="C144" t="s">
        <v>352</v>
      </c>
      <c r="D144">
        <v>4.71</v>
      </c>
      <c r="E144">
        <v>905</v>
      </c>
      <c r="F144" t="s">
        <v>118</v>
      </c>
      <c r="G144" t="s">
        <v>353</v>
      </c>
      <c r="H144">
        <v>13019</v>
      </c>
      <c r="I144">
        <f>VLOOKUP(H144,Sheet1!H:AE,2)</f>
        <v>3</v>
      </c>
      <c r="J144" t="str">
        <f>VLOOKUP(H144,Sheet1!H:T,3,FALSE)</f>
        <v>22"</v>
      </c>
      <c r="K144">
        <f>VLOOKUP($H144,Sheet1!H:$AE,4,FALSE)</f>
        <v>75000</v>
      </c>
      <c r="L144" t="str">
        <f>VLOOKUP($H144,Sheet1!$H:$AE,5,FALSE)</f>
        <v>Windbreaker</v>
      </c>
      <c r="M144">
        <f>VLOOKUP($H144,Sheet1!$H:$AE,13,FALSE)</f>
        <v>1440</v>
      </c>
      <c r="N144">
        <v>2465.8772862925898</v>
      </c>
      <c r="O144">
        <v>1430191.63833102</v>
      </c>
      <c r="P144">
        <v>16380.236742548999</v>
      </c>
      <c r="Q144">
        <v>18215900.179318</v>
      </c>
      <c r="R144">
        <v>0.35682510411506202</v>
      </c>
      <c r="S144">
        <v>2.7425045780443899E-3</v>
      </c>
      <c r="T144">
        <v>0.22795119554402499</v>
      </c>
      <c r="U144">
        <v>2.754416244614E-3</v>
      </c>
      <c r="V144">
        <v>1</v>
      </c>
      <c r="W144">
        <v>0</v>
      </c>
      <c r="X144">
        <v>0.340309028832261</v>
      </c>
      <c r="Y144">
        <v>0.224498793727369</v>
      </c>
      <c r="Z144">
        <v>0.100795516765079</v>
      </c>
      <c r="AA144">
        <v>1.1483676572164199E-3</v>
      </c>
      <c r="AB144">
        <v>50</v>
      </c>
    </row>
    <row r="145" spans="1:28" x14ac:dyDescent="0.25">
      <c r="A145">
        <v>1271</v>
      </c>
      <c r="B145" s="1">
        <v>45448</v>
      </c>
      <c r="C145" t="s">
        <v>354</v>
      </c>
      <c r="D145">
        <v>4.71</v>
      </c>
      <c r="E145">
        <v>905</v>
      </c>
      <c r="F145" t="s">
        <v>124</v>
      </c>
      <c r="G145" t="s">
        <v>355</v>
      </c>
      <c r="H145">
        <v>15019</v>
      </c>
      <c r="I145">
        <f>VLOOKUP(H145,Sheet1!H:AE,2)</f>
        <v>4</v>
      </c>
      <c r="J145" t="str">
        <f>VLOOKUP(H145,Sheet1!H:T,3,FALSE)</f>
        <v>22"</v>
      </c>
      <c r="K145">
        <f>VLOOKUP($H145,Sheet1!H:$AE,4,FALSE)</f>
        <v>75000</v>
      </c>
      <c r="L145" t="str">
        <f>VLOOKUP($H145,Sheet1!$H:$AE,5,FALSE)</f>
        <v>Eclipse</v>
      </c>
      <c r="M145">
        <f>VLOOKUP($H145,Sheet1!$H:$AE,13,FALSE)</f>
        <v>1186</v>
      </c>
      <c r="N145">
        <v>2223.72702380601</v>
      </c>
      <c r="O145">
        <v>1279812.4429420701</v>
      </c>
      <c r="P145">
        <v>16479.044868531699</v>
      </c>
      <c r="Q145">
        <v>17182988.327225901</v>
      </c>
      <c r="R145">
        <v>0.37717126356015401</v>
      </c>
      <c r="S145">
        <v>2.32969308294661E-3</v>
      </c>
      <c r="T145">
        <v>0.24521899003077299</v>
      </c>
      <c r="U145">
        <v>1.8453327953433401E-3</v>
      </c>
      <c r="V145">
        <v>0.57535971556082299</v>
      </c>
      <c r="W145">
        <v>0.24432091327080699</v>
      </c>
      <c r="X145">
        <v>0.444305381727158</v>
      </c>
      <c r="Y145">
        <v>0.24689810949538399</v>
      </c>
      <c r="Z145">
        <v>8.4192931908469798E-2</v>
      </c>
      <c r="AA145">
        <v>2.9695728572760498E-3</v>
      </c>
      <c r="AB145">
        <v>31</v>
      </c>
    </row>
    <row r="146" spans="1:28" x14ac:dyDescent="0.25">
      <c r="A146">
        <v>1272</v>
      </c>
      <c r="B146" s="1">
        <v>45448</v>
      </c>
      <c r="C146" t="s">
        <v>356</v>
      </c>
      <c r="D146">
        <v>4.71</v>
      </c>
      <c r="E146">
        <v>905</v>
      </c>
      <c r="F146" t="s">
        <v>24</v>
      </c>
      <c r="G146" t="s">
        <v>357</v>
      </c>
      <c r="H146">
        <v>15020</v>
      </c>
      <c r="I146">
        <f>VLOOKUP(H146,Sheet1!H:AE,2)</f>
        <v>4</v>
      </c>
      <c r="J146" t="str">
        <f>VLOOKUP(H146,Sheet1!H:T,3,FALSE)</f>
        <v>22"</v>
      </c>
      <c r="K146">
        <f>VLOOKUP($H146,Sheet1!H:$AE,4,FALSE)</f>
        <v>100000</v>
      </c>
      <c r="L146" t="str">
        <f>VLOOKUP($H146,Sheet1!$H:$AE,5,FALSE)</f>
        <v>CLERK</v>
      </c>
      <c r="M146">
        <f>VLOOKUP($H146,Sheet1!$H:$AE,13,FALSE)</f>
        <v>726</v>
      </c>
      <c r="N146">
        <v>2309.0704513892301</v>
      </c>
      <c r="O146">
        <v>1558453.5294349501</v>
      </c>
      <c r="P146">
        <v>16379.5689473494</v>
      </c>
      <c r="Q146">
        <v>20573367.993487101</v>
      </c>
      <c r="R146">
        <v>0.38418026505419101</v>
      </c>
      <c r="S146">
        <v>2.5601277280733799E-3</v>
      </c>
      <c r="T146">
        <v>0.25111228222047699</v>
      </c>
      <c r="U146">
        <v>2.8511859037404302E-3</v>
      </c>
      <c r="V146">
        <v>1</v>
      </c>
      <c r="W146">
        <v>0</v>
      </c>
      <c r="X146">
        <v>0.59327087666341505</v>
      </c>
      <c r="Y146">
        <v>0.24130054356647301</v>
      </c>
      <c r="Z146">
        <v>8.4192931908469798E-2</v>
      </c>
      <c r="AA146">
        <v>2.9695728572760498E-3</v>
      </c>
      <c r="AB146">
        <v>58</v>
      </c>
    </row>
    <row r="147" spans="1:28" x14ac:dyDescent="0.25">
      <c r="A147">
        <v>1274</v>
      </c>
      <c r="B147" s="1">
        <v>45448</v>
      </c>
      <c r="C147" t="s">
        <v>358</v>
      </c>
      <c r="D147">
        <v>4.71</v>
      </c>
      <c r="E147">
        <v>905</v>
      </c>
      <c r="F147" t="s">
        <v>32</v>
      </c>
      <c r="G147" t="s">
        <v>359</v>
      </c>
      <c r="H147">
        <v>13020</v>
      </c>
      <c r="I147">
        <f>VLOOKUP(H147,Sheet1!H:AE,2)</f>
        <v>3</v>
      </c>
      <c r="J147" t="str">
        <f>VLOOKUP(H147,Sheet1!H:T,3,FALSE)</f>
        <v>22"</v>
      </c>
      <c r="K147">
        <f>VLOOKUP($H147,Sheet1!H:$AE,4,FALSE)</f>
        <v>100000</v>
      </c>
      <c r="L147" t="str">
        <f>VLOOKUP($H147,Sheet1!$H:$AE,5,FALSE)</f>
        <v>Eclipse</v>
      </c>
      <c r="M147">
        <f>VLOOKUP($H147,Sheet1!$H:$AE,13,FALSE)</f>
        <v>2252</v>
      </c>
      <c r="N147">
        <v>2374.9142724882099</v>
      </c>
      <c r="O147">
        <v>1367095.0470479501</v>
      </c>
      <c r="P147">
        <v>16119.2807200965</v>
      </c>
      <c r="Q147">
        <v>18924318.478966601</v>
      </c>
      <c r="R147">
        <v>0.36228404968967898</v>
      </c>
      <c r="S147">
        <v>2.9744437628021602E-3</v>
      </c>
      <c r="T147">
        <v>0.232427821976779</v>
      </c>
      <c r="U147">
        <v>3.2013067169969901E-3</v>
      </c>
      <c r="V147">
        <v>1</v>
      </c>
      <c r="W147">
        <v>0</v>
      </c>
      <c r="X147">
        <v>0.480380247731581</v>
      </c>
      <c r="Y147">
        <v>0.24961506532080099</v>
      </c>
      <c r="Z147">
        <v>0.100795516765079</v>
      </c>
      <c r="AA147">
        <v>1.1483676572164199E-3</v>
      </c>
      <c r="AB147">
        <v>87</v>
      </c>
    </row>
    <row r="148" spans="1:28" x14ac:dyDescent="0.25">
      <c r="A148">
        <v>1275</v>
      </c>
      <c r="B148" s="1">
        <v>45448</v>
      </c>
      <c r="C148" t="s">
        <v>360</v>
      </c>
      <c r="D148">
        <v>4.71</v>
      </c>
      <c r="E148">
        <v>905</v>
      </c>
      <c r="F148" t="s">
        <v>36</v>
      </c>
      <c r="G148" t="s">
        <v>361</v>
      </c>
      <c r="H148">
        <v>12020</v>
      </c>
      <c r="I148">
        <f>VLOOKUP(H148,Sheet1!H:AE,2)</f>
        <v>3</v>
      </c>
      <c r="J148" t="str">
        <f>VLOOKUP(H148,Sheet1!H:T,3,FALSE)</f>
        <v>22"</v>
      </c>
      <c r="K148">
        <f>VLOOKUP($H148,Sheet1!H:$AE,4,FALSE)</f>
        <v>100000</v>
      </c>
      <c r="L148" t="str">
        <f>VLOOKUP($H148,Sheet1!$H:$AE,5,FALSE)</f>
        <v>Ronnies red</v>
      </c>
      <c r="M148">
        <f>VLOOKUP($H148,Sheet1!$H:$AE,13,FALSE)</f>
        <v>909</v>
      </c>
      <c r="N148">
        <v>2523.2866415183498</v>
      </c>
      <c r="O148">
        <v>1786572.0670424299</v>
      </c>
      <c r="P148">
        <v>15703.6238781019</v>
      </c>
      <c r="Q148">
        <v>17343912.1867349</v>
      </c>
      <c r="R148">
        <v>0.36739784088380401</v>
      </c>
      <c r="S148">
        <v>2.9268101234477002E-3</v>
      </c>
      <c r="T148">
        <v>0.23774530886329401</v>
      </c>
      <c r="U148">
        <v>4.1078011644631804E-3</v>
      </c>
      <c r="V148">
        <v>0.99346284190447998</v>
      </c>
      <c r="W148">
        <v>6.4944236595537103E-3</v>
      </c>
      <c r="X148">
        <v>0.55040628709727801</v>
      </c>
      <c r="Y148">
        <v>0.24745920622128501</v>
      </c>
      <c r="Z148">
        <v>0.101541433721954</v>
      </c>
      <c r="AA148">
        <v>8.1137284474565199E-4</v>
      </c>
      <c r="AB148">
        <v>72</v>
      </c>
    </row>
    <row r="149" spans="1:28" x14ac:dyDescent="0.25">
      <c r="A149">
        <v>1276</v>
      </c>
      <c r="B149" s="1">
        <v>45448</v>
      </c>
      <c r="C149" t="s">
        <v>362</v>
      </c>
      <c r="D149">
        <v>4.71</v>
      </c>
      <c r="E149">
        <v>905</v>
      </c>
      <c r="F149" t="s">
        <v>40</v>
      </c>
      <c r="G149" t="s">
        <v>363</v>
      </c>
      <c r="H149">
        <v>11020</v>
      </c>
      <c r="I149">
        <f>VLOOKUP(H149,Sheet1!H:AE,2)</f>
        <v>3</v>
      </c>
      <c r="J149" t="str">
        <f>VLOOKUP(H149,Sheet1!H:T,3,FALSE)</f>
        <v>22"</v>
      </c>
      <c r="K149">
        <f>VLOOKUP($H149,Sheet1!H:$AE,4,FALSE)</f>
        <v>100000</v>
      </c>
      <c r="L149" t="str">
        <f>VLOOKUP($H149,Sheet1!$H:$AE,5,FALSE)</f>
        <v>Windbreaker</v>
      </c>
      <c r="M149">
        <f>VLOOKUP($H149,Sheet1!$H:$AE,13,FALSE)</f>
        <v>1834</v>
      </c>
      <c r="N149">
        <v>2639.0079977937098</v>
      </c>
      <c r="O149">
        <v>1669147.80751623</v>
      </c>
      <c r="P149">
        <v>16478.326425728101</v>
      </c>
      <c r="Q149">
        <v>16289500.3032913</v>
      </c>
      <c r="R149">
        <v>0.34593938894924497</v>
      </c>
      <c r="S149">
        <v>2.3661810493612501E-3</v>
      </c>
      <c r="T149">
        <v>0.223054263005665</v>
      </c>
      <c r="U149">
        <v>3.0303256885097301E-3</v>
      </c>
      <c r="V149">
        <v>0.95661191459417405</v>
      </c>
      <c r="W149">
        <v>4.1505559450761099E-2</v>
      </c>
      <c r="X149">
        <v>0.60404185417299305</v>
      </c>
      <c r="Y149">
        <v>0.23917529257974501</v>
      </c>
      <c r="Z149">
        <v>0.116475845461096</v>
      </c>
      <c r="AA149">
        <v>8.8454664812347703E-4</v>
      </c>
      <c r="AB149">
        <v>60</v>
      </c>
    </row>
    <row r="150" spans="1:28" x14ac:dyDescent="0.25">
      <c r="A150">
        <v>1277</v>
      </c>
      <c r="B150" s="1">
        <v>45448</v>
      </c>
      <c r="C150" t="s">
        <v>364</v>
      </c>
      <c r="D150">
        <v>4.71</v>
      </c>
      <c r="E150">
        <v>905</v>
      </c>
      <c r="F150" t="s">
        <v>44</v>
      </c>
      <c r="G150" t="s">
        <v>365</v>
      </c>
      <c r="H150">
        <v>10020</v>
      </c>
      <c r="I150">
        <f>VLOOKUP(H150,Sheet1!H:AE,2)</f>
        <v>3</v>
      </c>
      <c r="J150" t="str">
        <f>VLOOKUP(H150,Sheet1!H:T,3,FALSE)</f>
        <v>22"</v>
      </c>
      <c r="K150">
        <f>VLOOKUP($H150,Sheet1!H:$AE,4,FALSE)</f>
        <v>100000</v>
      </c>
      <c r="L150" t="str">
        <f>VLOOKUP($H150,Sheet1!$H:$AE,5,FALSE)</f>
        <v>Cayenne</v>
      </c>
      <c r="M150">
        <f>VLOOKUP($H150,Sheet1!$H:$AE,13,FALSE)</f>
        <v>2416</v>
      </c>
      <c r="N150">
        <v>2617.0022752120099</v>
      </c>
      <c r="O150">
        <v>1196104.4549288701</v>
      </c>
      <c r="P150">
        <v>16711.4873162105</v>
      </c>
      <c r="Q150">
        <v>15677230.814787099</v>
      </c>
      <c r="R150">
        <v>0.32907288870151802</v>
      </c>
      <c r="S150">
        <v>3.8393862100159601E-3</v>
      </c>
      <c r="T150">
        <v>0.22165288122399901</v>
      </c>
      <c r="U150">
        <v>3.50851800622777E-3</v>
      </c>
      <c r="V150">
        <v>0.970461321925292</v>
      </c>
      <c r="W150">
        <v>2.8666144572304202E-2</v>
      </c>
      <c r="X150">
        <v>0.40957613236891</v>
      </c>
      <c r="Y150">
        <v>0.241823524162605</v>
      </c>
      <c r="Z150">
        <v>7.7678776515304901E-2</v>
      </c>
      <c r="AA150">
        <v>1.12397102936487E-3</v>
      </c>
      <c r="AB150">
        <v>72</v>
      </c>
    </row>
    <row r="151" spans="1:28" x14ac:dyDescent="0.25">
      <c r="A151">
        <v>1279</v>
      </c>
      <c r="B151" s="1">
        <v>45448</v>
      </c>
      <c r="C151" t="s">
        <v>366</v>
      </c>
      <c r="D151">
        <v>4.71</v>
      </c>
      <c r="E151">
        <v>905</v>
      </c>
      <c r="F151" t="s">
        <v>52</v>
      </c>
      <c r="G151" t="s">
        <v>367</v>
      </c>
      <c r="H151">
        <v>8020</v>
      </c>
      <c r="I151">
        <f>VLOOKUP(H151,Sheet1!H:AE,2)</f>
        <v>2</v>
      </c>
      <c r="J151" t="str">
        <f>VLOOKUP(H151,Sheet1!H:T,3,FALSE)</f>
        <v>22"</v>
      </c>
      <c r="K151">
        <f>VLOOKUP($H151,Sheet1!H:$AE,4,FALSE)</f>
        <v>100000</v>
      </c>
      <c r="L151" t="str">
        <f>VLOOKUP($H151,Sheet1!$H:$AE,5,FALSE)</f>
        <v>Zorro</v>
      </c>
      <c r="M151">
        <f>VLOOKUP($H151,Sheet1!$H:$AE,13,FALSE)</f>
        <v>1752</v>
      </c>
      <c r="N151">
        <v>2400.9949768541301</v>
      </c>
      <c r="O151">
        <v>1549574.28769267</v>
      </c>
      <c r="P151">
        <v>16261.6562468518</v>
      </c>
      <c r="Q151">
        <v>15853229.310953001</v>
      </c>
      <c r="R151">
        <v>0.31894361558106898</v>
      </c>
      <c r="S151">
        <v>3.3149819604298501E-3</v>
      </c>
      <c r="T151">
        <v>0.22755920781359801</v>
      </c>
      <c r="U151">
        <v>3.4399196368818399E-3</v>
      </c>
      <c r="V151">
        <v>0.98762940054445403</v>
      </c>
      <c r="W151">
        <v>1.22175677246534E-2</v>
      </c>
      <c r="X151">
        <v>0.555191548492182</v>
      </c>
      <c r="Y151">
        <v>0.24695389297544701</v>
      </c>
      <c r="Z151">
        <v>0.10428446869046901</v>
      </c>
      <c r="AA151">
        <v>9.4628342672458201E-4</v>
      </c>
      <c r="AB151">
        <v>71</v>
      </c>
    </row>
    <row r="152" spans="1:28" x14ac:dyDescent="0.25">
      <c r="A152">
        <v>1280</v>
      </c>
      <c r="B152" s="1">
        <v>45448</v>
      </c>
      <c r="C152" t="s">
        <v>368</v>
      </c>
      <c r="D152">
        <v>4.71</v>
      </c>
      <c r="E152">
        <v>905</v>
      </c>
      <c r="F152" t="s">
        <v>56</v>
      </c>
      <c r="G152" t="s">
        <v>369</v>
      </c>
      <c r="H152">
        <v>7020</v>
      </c>
      <c r="I152">
        <f>VLOOKUP(H152,Sheet1!H:AE,2)</f>
        <v>2</v>
      </c>
      <c r="J152" t="str">
        <f>VLOOKUP(H152,Sheet1!H:T,3,FALSE)</f>
        <v>22"</v>
      </c>
      <c r="K152">
        <f>VLOOKUP($H152,Sheet1!H:$AE,4,FALSE)</f>
        <v>100000</v>
      </c>
      <c r="L152" t="str">
        <f>VLOOKUP($H152,Sheet1!$H:$AE,5,FALSE)</f>
        <v>Nautica</v>
      </c>
      <c r="M152">
        <f>VLOOKUP($H152,Sheet1!$H:$AE,13,FALSE)</f>
        <v>1954</v>
      </c>
      <c r="N152">
        <v>2385.4398022298401</v>
      </c>
      <c r="O152">
        <v>1425404.12483822</v>
      </c>
      <c r="P152">
        <v>16327.484497637801</v>
      </c>
      <c r="Q152">
        <v>13679721.1310982</v>
      </c>
      <c r="R152">
        <v>0.33658260760300801</v>
      </c>
      <c r="S152">
        <v>2.3291298972091899E-3</v>
      </c>
      <c r="T152">
        <v>0.22205947539569801</v>
      </c>
      <c r="U152">
        <v>2.83901352581024E-3</v>
      </c>
      <c r="V152">
        <v>0.98383273454572395</v>
      </c>
      <c r="W152">
        <v>1.5905884982004501E-2</v>
      </c>
      <c r="X152">
        <v>0.48635242582639998</v>
      </c>
      <c r="Y152">
        <v>0.24981374371909201</v>
      </c>
      <c r="Z152">
        <v>9.6373351045459299E-2</v>
      </c>
      <c r="AA152">
        <v>9.1612187112057898E-4</v>
      </c>
      <c r="AB152">
        <v>62</v>
      </c>
    </row>
    <row r="153" spans="1:28" x14ac:dyDescent="0.25">
      <c r="A153">
        <v>1281</v>
      </c>
      <c r="B153" s="1">
        <v>45448</v>
      </c>
      <c r="C153" t="s">
        <v>370</v>
      </c>
      <c r="D153">
        <v>4.71</v>
      </c>
      <c r="E153">
        <v>905</v>
      </c>
      <c r="F153" t="s">
        <v>60</v>
      </c>
      <c r="G153" t="s">
        <v>371</v>
      </c>
      <c r="H153">
        <v>6020</v>
      </c>
      <c r="I153">
        <f>VLOOKUP(H153,Sheet1!H:AE,2)</f>
        <v>2</v>
      </c>
      <c r="J153" t="str">
        <f>VLOOKUP(H153,Sheet1!H:T,3,FALSE)</f>
        <v>22"</v>
      </c>
      <c r="K153">
        <f>VLOOKUP($H153,Sheet1!H:$AE,4,FALSE)</f>
        <v>100000</v>
      </c>
      <c r="L153" t="str">
        <f>VLOOKUP($H153,Sheet1!$H:$AE,5,FALSE)</f>
        <v>Red Dawn</v>
      </c>
      <c r="M153">
        <f>VLOOKUP($H153,Sheet1!$H:$AE,13,FALSE)</f>
        <v>610</v>
      </c>
      <c r="N153">
        <v>2318.3255424558502</v>
      </c>
      <c r="O153">
        <v>1585205.9745113801</v>
      </c>
      <c r="P153">
        <v>16305.67459224</v>
      </c>
      <c r="Q153">
        <v>17424294.606550299</v>
      </c>
      <c r="R153">
        <v>0.35557709751310801</v>
      </c>
      <c r="S153">
        <v>2.59689629857441E-3</v>
      </c>
      <c r="T153">
        <v>0.22630553239287299</v>
      </c>
      <c r="U153">
        <v>3.00739214492009E-3</v>
      </c>
      <c r="V153">
        <v>1</v>
      </c>
      <c r="W153">
        <v>0</v>
      </c>
      <c r="X153">
        <v>0.496567463604071</v>
      </c>
      <c r="Y153">
        <v>0.24998821769422899</v>
      </c>
      <c r="Z153">
        <v>9.3056265944980301E-2</v>
      </c>
      <c r="AA153">
        <v>9.3336123640364304E-4</v>
      </c>
      <c r="AB153">
        <v>56</v>
      </c>
    </row>
    <row r="154" spans="1:28" x14ac:dyDescent="0.25">
      <c r="A154">
        <v>1282</v>
      </c>
      <c r="B154" s="1">
        <v>45448</v>
      </c>
      <c r="C154" t="s">
        <v>372</v>
      </c>
      <c r="D154">
        <v>4.71</v>
      </c>
      <c r="E154">
        <v>905</v>
      </c>
      <c r="F154" t="s">
        <v>64</v>
      </c>
      <c r="G154" t="s">
        <v>373</v>
      </c>
      <c r="H154">
        <v>5020</v>
      </c>
      <c r="I154">
        <f>VLOOKUP(H154,Sheet1!H:AE,2)</f>
        <v>2</v>
      </c>
      <c r="J154" t="str">
        <f>VLOOKUP(H154,Sheet1!H:T,3,FALSE)</f>
        <v>22"</v>
      </c>
      <c r="K154">
        <f>VLOOKUP($H154,Sheet1!H:$AE,4,FALSE)</f>
        <v>100000</v>
      </c>
      <c r="L154" t="str">
        <f>VLOOKUP($H154,Sheet1!$H:$AE,5,FALSE)</f>
        <v>black bear</v>
      </c>
      <c r="M154">
        <f>VLOOKUP($H154,Sheet1!$H:$AE,13,FALSE)</f>
        <v>2311</v>
      </c>
      <c r="N154">
        <v>2262.24804002679</v>
      </c>
      <c r="O154">
        <v>1149965.4640444701</v>
      </c>
      <c r="P154">
        <v>16110.380281420201</v>
      </c>
      <c r="Q154">
        <v>16292037.671863699</v>
      </c>
      <c r="R154">
        <v>0.357257449615556</v>
      </c>
      <c r="S154">
        <v>2.9091677261630601E-3</v>
      </c>
      <c r="T154">
        <v>0.22839286427560301</v>
      </c>
      <c r="U154">
        <v>3.6980094906788699E-3</v>
      </c>
      <c r="V154">
        <v>0.99924075480083696</v>
      </c>
      <c r="W154">
        <v>7.58668745890615E-4</v>
      </c>
      <c r="X154">
        <v>0.50992030625954698</v>
      </c>
      <c r="Y154">
        <v>0.24990158752375499</v>
      </c>
      <c r="Z154">
        <v>8.5872909838574096E-2</v>
      </c>
      <c r="AA154">
        <v>8.7433742098954204E-4</v>
      </c>
      <c r="AB154">
        <v>58</v>
      </c>
    </row>
    <row r="155" spans="1:28" x14ac:dyDescent="0.25">
      <c r="A155">
        <v>1283</v>
      </c>
      <c r="B155" s="1">
        <v>45448</v>
      </c>
      <c r="C155" t="s">
        <v>374</v>
      </c>
      <c r="D155">
        <v>4.71</v>
      </c>
      <c r="E155">
        <v>905</v>
      </c>
      <c r="F155" t="s">
        <v>68</v>
      </c>
      <c r="G155" t="s">
        <v>375</v>
      </c>
      <c r="H155">
        <v>4020</v>
      </c>
      <c r="I155">
        <f>VLOOKUP(H155,Sheet1!H:AE,2)</f>
        <v>1</v>
      </c>
      <c r="J155" t="str">
        <f>VLOOKUP(H155,Sheet1!H:T,3,FALSE)</f>
        <v>22"</v>
      </c>
      <c r="K155">
        <f>VLOOKUP($H155,Sheet1!H:$AE,4,FALSE)</f>
        <v>100000</v>
      </c>
      <c r="L155" t="str">
        <f>VLOOKUP($H155,Sheet1!$H:$AE,5,FALSE)</f>
        <v>Redhawk</v>
      </c>
      <c r="M155">
        <f>VLOOKUP($H155,Sheet1!$H:$AE,13,FALSE)</f>
        <v>392</v>
      </c>
      <c r="N155">
        <v>2449.3140420167201</v>
      </c>
      <c r="O155">
        <v>1651690.4865486899</v>
      </c>
      <c r="P155">
        <v>15875.8496597623</v>
      </c>
      <c r="Q155">
        <v>18593696.477593001</v>
      </c>
      <c r="R155">
        <v>0.35810848654739103</v>
      </c>
      <c r="S155">
        <v>3.03281260260037E-3</v>
      </c>
      <c r="T155">
        <v>0.236070599617418</v>
      </c>
      <c r="U155">
        <v>4.7366864211992399E-3</v>
      </c>
      <c r="V155">
        <v>1</v>
      </c>
      <c r="W155">
        <v>0</v>
      </c>
      <c r="X155">
        <v>0.66054091858613895</v>
      </c>
      <c r="Y155">
        <v>0.22422661345947301</v>
      </c>
      <c r="Z155">
        <v>9.0307155243878806E-2</v>
      </c>
      <c r="AA155">
        <v>9.5910824056944801E-4</v>
      </c>
      <c r="AB155">
        <v>83</v>
      </c>
    </row>
    <row r="156" spans="1:28" x14ac:dyDescent="0.25">
      <c r="A156">
        <v>1284</v>
      </c>
      <c r="B156" s="1">
        <v>45448</v>
      </c>
      <c r="C156" t="s">
        <v>376</v>
      </c>
      <c r="D156">
        <v>4.71</v>
      </c>
      <c r="E156">
        <v>905</v>
      </c>
      <c r="F156" t="s">
        <v>72</v>
      </c>
      <c r="G156" t="s">
        <v>377</v>
      </c>
      <c r="H156">
        <v>3020</v>
      </c>
      <c r="I156">
        <f>VLOOKUP(H156,Sheet1!H:AE,2)</f>
        <v>1</v>
      </c>
      <c r="J156" t="str">
        <f>VLOOKUP(H156,Sheet1!H:T,3,FALSE)</f>
        <v>22"</v>
      </c>
      <c r="K156">
        <f>VLOOKUP($H156,Sheet1!H:$AE,4,FALSE)</f>
        <v>100000</v>
      </c>
      <c r="L156" t="str">
        <f>VLOOKUP($H156,Sheet1!$H:$AE,5,FALSE)</f>
        <v>ETNA</v>
      </c>
      <c r="M156">
        <f>VLOOKUP($H156,Sheet1!$H:$AE,13,FALSE)</f>
        <v>505</v>
      </c>
      <c r="N156">
        <v>2340.53334974884</v>
      </c>
      <c r="O156">
        <v>1077673.7331584699</v>
      </c>
      <c r="P156">
        <v>15910.979118099</v>
      </c>
      <c r="Q156">
        <v>15548971.6450026</v>
      </c>
      <c r="R156">
        <v>0.36191945049365398</v>
      </c>
      <c r="S156">
        <v>2.7475025328773002E-3</v>
      </c>
      <c r="T156">
        <v>0.239115800563379</v>
      </c>
      <c r="U156">
        <v>3.8352213061417402E-3</v>
      </c>
      <c r="V156">
        <v>0.99829626474564304</v>
      </c>
      <c r="W156">
        <v>1.70083254053962E-3</v>
      </c>
      <c r="X156">
        <v>0.61299406432614001</v>
      </c>
      <c r="Y156">
        <v>0.23723234142683799</v>
      </c>
      <c r="Z156">
        <v>9.4957034091235501E-2</v>
      </c>
      <c r="AA156">
        <v>8.4252624967331795E-4</v>
      </c>
      <c r="AB156">
        <v>62</v>
      </c>
    </row>
    <row r="157" spans="1:28" x14ac:dyDescent="0.25">
      <c r="A157">
        <v>1285</v>
      </c>
      <c r="B157" s="1">
        <v>45448</v>
      </c>
      <c r="C157" t="s">
        <v>378</v>
      </c>
      <c r="D157">
        <v>4.71</v>
      </c>
      <c r="E157">
        <v>905</v>
      </c>
      <c r="F157" t="s">
        <v>76</v>
      </c>
      <c r="G157" t="s">
        <v>379</v>
      </c>
      <c r="H157">
        <v>2020</v>
      </c>
      <c r="I157">
        <f>VLOOKUP(H157,Sheet1!H:AE,2)</f>
        <v>1</v>
      </c>
      <c r="J157" t="str">
        <f>VLOOKUP(H157,Sheet1!H:T,3,FALSE)</f>
        <v>22"</v>
      </c>
      <c r="K157">
        <f>VLOOKUP($H157,Sheet1!H:$AE,4,FALSE)</f>
        <v>100000</v>
      </c>
      <c r="L157" t="str">
        <f>VLOOKUP($H157,Sheet1!$H:$AE,5,FALSE)</f>
        <v>Merlot</v>
      </c>
      <c r="M157">
        <f>VLOOKUP($H157,Sheet1!$H:$AE,13,FALSE)</f>
        <v>1146</v>
      </c>
      <c r="N157">
        <v>2425.5005860394599</v>
      </c>
      <c r="O157">
        <v>1022194.4590631</v>
      </c>
      <c r="P157">
        <v>16605.867540715099</v>
      </c>
      <c r="Q157">
        <v>12786777.4989882</v>
      </c>
      <c r="R157">
        <v>0.349566488157871</v>
      </c>
      <c r="S157">
        <v>2.05682082151487E-3</v>
      </c>
      <c r="T157">
        <v>0.220168793943573</v>
      </c>
      <c r="U157">
        <v>2.14195190135352E-3</v>
      </c>
      <c r="V157">
        <v>0.976981055204726</v>
      </c>
      <c r="W157">
        <v>2.2489072975779002E-2</v>
      </c>
      <c r="X157">
        <v>0.31269842730543701</v>
      </c>
      <c r="Y157">
        <v>0.214918120866227</v>
      </c>
      <c r="Z157">
        <v>0.10455132394219099</v>
      </c>
      <c r="AA157">
        <v>9.9505154427514996E-4</v>
      </c>
      <c r="AB157">
        <v>40</v>
      </c>
    </row>
    <row r="158" spans="1:28" x14ac:dyDescent="0.25">
      <c r="A158">
        <v>1286</v>
      </c>
      <c r="B158" s="1">
        <v>45448</v>
      </c>
      <c r="C158" t="s">
        <v>380</v>
      </c>
      <c r="D158">
        <v>4.71</v>
      </c>
      <c r="E158">
        <v>905</v>
      </c>
      <c r="F158" t="s">
        <v>79</v>
      </c>
      <c r="G158" t="s">
        <v>381</v>
      </c>
      <c r="H158">
        <v>1020</v>
      </c>
      <c r="I158">
        <f>VLOOKUP(H158,Sheet1!H:AE,2)</f>
        <v>1</v>
      </c>
      <c r="J158" t="str">
        <f>VLOOKUP(H158,Sheet1!H:T,3,FALSE)</f>
        <v>22"</v>
      </c>
      <c r="K158">
        <f>VLOOKUP($H158,Sheet1!H:$AE,4,FALSE)</f>
        <v>100000</v>
      </c>
      <c r="L158" t="str">
        <f>VLOOKUP($H158,Sheet1!$H:$AE,5,FALSE)</f>
        <v>T9905</v>
      </c>
      <c r="M158">
        <f>VLOOKUP($H158,Sheet1!$H:$AE,13,FALSE)</f>
        <v>1548</v>
      </c>
      <c r="N158">
        <v>2359.2744777457101</v>
      </c>
      <c r="O158">
        <v>1168721.0519630001</v>
      </c>
      <c r="P158">
        <v>16296.343930938299</v>
      </c>
      <c r="Q158">
        <v>13865936.200730801</v>
      </c>
      <c r="R158">
        <v>0.36406477325699199</v>
      </c>
      <c r="S158">
        <v>2.3623388985821499E-3</v>
      </c>
      <c r="T158">
        <v>0.23577737460492601</v>
      </c>
      <c r="U158">
        <v>2.4325605257403799E-3</v>
      </c>
      <c r="V158">
        <v>0.99901851851851897</v>
      </c>
      <c r="W158">
        <v>9.8051817558518907E-4</v>
      </c>
      <c r="X158">
        <v>0.30505401873631099</v>
      </c>
      <c r="Y158">
        <v>0.21199606438901999</v>
      </c>
      <c r="Z158">
        <v>0</v>
      </c>
      <c r="AA158">
        <v>0</v>
      </c>
      <c r="AB158">
        <v>68</v>
      </c>
    </row>
    <row r="159" spans="1:28" x14ac:dyDescent="0.25">
      <c r="A159">
        <v>1287</v>
      </c>
      <c r="B159" s="1">
        <v>45448</v>
      </c>
      <c r="C159" t="s">
        <v>382</v>
      </c>
      <c r="D159">
        <v>4.71</v>
      </c>
      <c r="E159">
        <v>905</v>
      </c>
      <c r="F159" t="s">
        <v>82</v>
      </c>
      <c r="G159" t="s">
        <v>383</v>
      </c>
      <c r="H159">
        <v>1021</v>
      </c>
      <c r="I159">
        <f>VLOOKUP(H159,Sheet1!H:AE,2)</f>
        <v>1</v>
      </c>
      <c r="J159" t="str">
        <f>VLOOKUP(H159,Sheet1!H:T,3,FALSE)</f>
        <v>22"</v>
      </c>
      <c r="K159">
        <f>VLOOKUP($H159,Sheet1!H:$AE,4,FALSE)</f>
        <v>150000</v>
      </c>
      <c r="L159" t="str">
        <f>VLOOKUP($H159,Sheet1!$H:$AE,5,FALSE)</f>
        <v>Nautica</v>
      </c>
      <c r="M159">
        <f>VLOOKUP($H159,Sheet1!$H:$AE,13,FALSE)</f>
        <v>1249</v>
      </c>
      <c r="N159">
        <v>2742.4363580848799</v>
      </c>
      <c r="O159">
        <v>3955695.0484986999</v>
      </c>
      <c r="P159">
        <v>15980.0330886469</v>
      </c>
      <c r="Q159">
        <v>16432089.856164699</v>
      </c>
      <c r="R159">
        <v>0.36646230233164201</v>
      </c>
      <c r="S159">
        <v>2.8219304754857899E-3</v>
      </c>
      <c r="T159">
        <v>0.24511394105863901</v>
      </c>
      <c r="U159">
        <v>5.7011828743357097E-3</v>
      </c>
      <c r="V159">
        <v>0.99896294375821804</v>
      </c>
      <c r="W159">
        <v>1.03598075613398E-3</v>
      </c>
      <c r="X159">
        <v>0.33979974968710802</v>
      </c>
      <c r="Y159">
        <v>0.22433587979950501</v>
      </c>
      <c r="Z159">
        <v>0</v>
      </c>
      <c r="AA159">
        <v>0</v>
      </c>
      <c r="AB159">
        <v>78</v>
      </c>
    </row>
    <row r="160" spans="1:28" x14ac:dyDescent="0.25">
      <c r="A160">
        <v>1288</v>
      </c>
      <c r="B160" s="1">
        <v>45448</v>
      </c>
      <c r="C160" t="s">
        <v>384</v>
      </c>
      <c r="D160">
        <v>4.71</v>
      </c>
      <c r="E160">
        <v>905</v>
      </c>
      <c r="F160" t="s">
        <v>85</v>
      </c>
      <c r="G160" t="s">
        <v>385</v>
      </c>
      <c r="H160">
        <v>2021</v>
      </c>
      <c r="I160">
        <f>VLOOKUP(H160,Sheet1!H:AE,2)</f>
        <v>1</v>
      </c>
      <c r="J160" t="str">
        <f>VLOOKUP(H160,Sheet1!H:T,3,FALSE)</f>
        <v>22"</v>
      </c>
      <c r="K160">
        <f>VLOOKUP($H160,Sheet1!H:$AE,4,FALSE)</f>
        <v>150000</v>
      </c>
      <c r="L160" t="str">
        <f>VLOOKUP($H160,Sheet1!$H:$AE,5,FALSE)</f>
        <v>Ronnies red</v>
      </c>
      <c r="M160">
        <f>VLOOKUP($H160,Sheet1!$H:$AE,13,FALSE)</f>
        <v>323</v>
      </c>
      <c r="N160">
        <v>2600.8739596773398</v>
      </c>
      <c r="O160">
        <v>2017572.4653165599</v>
      </c>
      <c r="P160">
        <v>16033.7630508562</v>
      </c>
      <c r="Q160">
        <v>16564505.247231901</v>
      </c>
      <c r="R160">
        <v>0.36803370779668498</v>
      </c>
      <c r="S160">
        <v>2.7651628210880498E-3</v>
      </c>
      <c r="T160">
        <v>0.24372686992818601</v>
      </c>
      <c r="U160">
        <v>4.70936452140348E-3</v>
      </c>
      <c r="V160">
        <v>1</v>
      </c>
      <c r="W160">
        <v>0</v>
      </c>
      <c r="X160">
        <v>0.26272730619156298</v>
      </c>
      <c r="Y160">
        <v>0.19370166877261899</v>
      </c>
      <c r="Z160">
        <v>0.10455132394219099</v>
      </c>
      <c r="AA160">
        <v>9.9505154427514996E-4</v>
      </c>
      <c r="AB160">
        <v>78</v>
      </c>
    </row>
    <row r="161" spans="1:28" x14ac:dyDescent="0.25">
      <c r="A161">
        <v>1289</v>
      </c>
      <c r="B161" s="1">
        <v>45448</v>
      </c>
      <c r="C161" t="s">
        <v>386</v>
      </c>
      <c r="D161">
        <v>4.71</v>
      </c>
      <c r="E161">
        <v>905</v>
      </c>
      <c r="F161" t="s">
        <v>88</v>
      </c>
      <c r="G161" t="s">
        <v>387</v>
      </c>
      <c r="H161">
        <v>3021</v>
      </c>
      <c r="I161">
        <f>VLOOKUP(H161,Sheet1!H:AE,2)</f>
        <v>1</v>
      </c>
      <c r="J161" t="str">
        <f>VLOOKUP(H161,Sheet1!H:T,3,FALSE)</f>
        <v>22"</v>
      </c>
      <c r="K161">
        <f>VLOOKUP($H161,Sheet1!H:$AE,4,FALSE)</f>
        <v>150000</v>
      </c>
      <c r="L161" t="str">
        <f>VLOOKUP($H161,Sheet1!$H:$AE,5,FALSE)</f>
        <v>Eclipse</v>
      </c>
      <c r="M161">
        <f>VLOOKUP($H161,Sheet1!$H:$AE,13,FALSE)</f>
        <v>1542</v>
      </c>
      <c r="N161">
        <v>2278.12472052871</v>
      </c>
      <c r="O161">
        <v>1225353.9795300299</v>
      </c>
      <c r="P161">
        <v>15538.066255767</v>
      </c>
      <c r="Q161">
        <v>16303648.9706377</v>
      </c>
      <c r="R161">
        <v>0.37476120912559102</v>
      </c>
      <c r="S161">
        <v>3.6170732100783099E-3</v>
      </c>
      <c r="T161">
        <v>0.24880343218097301</v>
      </c>
      <c r="U161">
        <v>5.5059431828547696E-3</v>
      </c>
      <c r="V161">
        <v>1</v>
      </c>
      <c r="W161">
        <v>0</v>
      </c>
      <c r="X161">
        <v>0.46837586387771801</v>
      </c>
      <c r="Y161">
        <v>0.24899991401437899</v>
      </c>
      <c r="Z161">
        <v>9.4957034091235501E-2</v>
      </c>
      <c r="AA161">
        <v>8.4252624967331795E-4</v>
      </c>
      <c r="AB161">
        <v>102</v>
      </c>
    </row>
    <row r="162" spans="1:28" x14ac:dyDescent="0.25">
      <c r="A162">
        <v>1290</v>
      </c>
      <c r="B162" s="1">
        <v>45448</v>
      </c>
      <c r="C162" t="s">
        <v>388</v>
      </c>
      <c r="D162">
        <v>4.71</v>
      </c>
      <c r="E162">
        <v>905</v>
      </c>
      <c r="F162" t="s">
        <v>91</v>
      </c>
      <c r="G162" t="s">
        <v>389</v>
      </c>
      <c r="H162">
        <v>4021</v>
      </c>
      <c r="I162">
        <f>VLOOKUP(H162,Sheet1!H:AE,2)</f>
        <v>1</v>
      </c>
      <c r="J162" t="str">
        <f>VLOOKUP(H162,Sheet1!H:T,3,FALSE)</f>
        <v>22"</v>
      </c>
      <c r="K162">
        <f>VLOOKUP($H162,Sheet1!H:$AE,4,FALSE)</f>
        <v>150000</v>
      </c>
      <c r="L162" t="str">
        <f>VLOOKUP($H162,Sheet1!$H:$AE,5,FALSE)</f>
        <v>black bear</v>
      </c>
      <c r="M162">
        <f>VLOOKUP($H162,Sheet1!$H:$AE,13,FALSE)</f>
        <v>2488</v>
      </c>
      <c r="N162">
        <v>2301.01930463902</v>
      </c>
      <c r="O162">
        <v>1503724.5613923201</v>
      </c>
      <c r="P162">
        <v>16239.315864374999</v>
      </c>
      <c r="Q162">
        <v>19064933.735064</v>
      </c>
      <c r="R162">
        <v>0.360949410241302</v>
      </c>
      <c r="S162">
        <v>3.66192824537203E-3</v>
      </c>
      <c r="T162">
        <v>0.236241482210961</v>
      </c>
      <c r="U162">
        <v>5.5062305685263198E-3</v>
      </c>
      <c r="V162">
        <v>1</v>
      </c>
      <c r="W162">
        <v>0</v>
      </c>
      <c r="X162">
        <v>0.64607087969225896</v>
      </c>
      <c r="Y162">
        <v>0.228663298105477</v>
      </c>
      <c r="Z162">
        <v>9.0307155243878806E-2</v>
      </c>
      <c r="AA162">
        <v>9.5910824056944801E-4</v>
      </c>
      <c r="AB162">
        <v>80</v>
      </c>
    </row>
    <row r="163" spans="1:28" x14ac:dyDescent="0.25">
      <c r="A163">
        <v>1291</v>
      </c>
      <c r="B163" s="1">
        <v>45448</v>
      </c>
      <c r="C163" t="s">
        <v>390</v>
      </c>
      <c r="D163">
        <v>4.71</v>
      </c>
      <c r="E163">
        <v>905</v>
      </c>
      <c r="F163" t="s">
        <v>94</v>
      </c>
      <c r="G163" t="s">
        <v>391</v>
      </c>
      <c r="H163">
        <v>5021</v>
      </c>
      <c r="I163">
        <f>VLOOKUP(H163,Sheet1!H:AE,2)</f>
        <v>2</v>
      </c>
      <c r="J163" t="str">
        <f>VLOOKUP(H163,Sheet1!H:T,3,FALSE)</f>
        <v>22"</v>
      </c>
      <c r="K163">
        <f>VLOOKUP($H163,Sheet1!H:$AE,4,FALSE)</f>
        <v>150000</v>
      </c>
      <c r="L163" t="str">
        <f>VLOOKUP($H163,Sheet1!$H:$AE,5,FALSE)</f>
        <v>Merlot</v>
      </c>
      <c r="M163">
        <f>VLOOKUP($H163,Sheet1!$H:$AE,13,FALSE)</f>
        <v>1744</v>
      </c>
      <c r="N163">
        <v>2183.4556378535999</v>
      </c>
      <c r="O163">
        <v>973913.437103034</v>
      </c>
      <c r="P163">
        <v>16127.9264490225</v>
      </c>
      <c r="Q163">
        <v>15008839.8917123</v>
      </c>
      <c r="R163">
        <v>0.35485635618635902</v>
      </c>
      <c r="S163">
        <v>2.5638311154071599E-3</v>
      </c>
      <c r="T163">
        <v>0.226947229426752</v>
      </c>
      <c r="U163">
        <v>2.8169162568582899E-3</v>
      </c>
      <c r="V163">
        <v>0.99412941220045203</v>
      </c>
      <c r="W163">
        <v>5.8361239984371302E-3</v>
      </c>
      <c r="X163">
        <v>0.47257601413531602</v>
      </c>
      <c r="Y163">
        <v>0.249247924999804</v>
      </c>
      <c r="Z163">
        <v>8.5872909838574096E-2</v>
      </c>
      <c r="AA163">
        <v>8.7433742098954204E-4</v>
      </c>
      <c r="AB163">
        <v>52</v>
      </c>
    </row>
    <row r="164" spans="1:28" x14ac:dyDescent="0.25">
      <c r="A164">
        <v>1293</v>
      </c>
      <c r="B164" s="1">
        <v>45448</v>
      </c>
      <c r="C164" t="s">
        <v>392</v>
      </c>
      <c r="D164">
        <v>4.71</v>
      </c>
      <c r="E164">
        <v>905</v>
      </c>
      <c r="F164" t="s">
        <v>100</v>
      </c>
      <c r="G164" t="s">
        <v>393</v>
      </c>
      <c r="H164">
        <v>7021</v>
      </c>
      <c r="I164">
        <f>VLOOKUP(H164,Sheet1!H:AE,2)</f>
        <v>2</v>
      </c>
      <c r="J164" t="str">
        <f>VLOOKUP(H164,Sheet1!H:T,3,FALSE)</f>
        <v>22"</v>
      </c>
      <c r="K164">
        <f>VLOOKUP($H164,Sheet1!H:$AE,4,FALSE)</f>
        <v>150000</v>
      </c>
      <c r="L164" t="str">
        <f>VLOOKUP($H164,Sheet1!$H:$AE,5,FALSE)</f>
        <v>Cayenne</v>
      </c>
      <c r="M164">
        <f>VLOOKUP($H164,Sheet1!$H:$AE,13,FALSE)</f>
        <v>2989</v>
      </c>
      <c r="N164">
        <v>2406.3325289813001</v>
      </c>
      <c r="O164">
        <v>1245521.06536089</v>
      </c>
      <c r="P164">
        <v>15894.9138010399</v>
      </c>
      <c r="Q164">
        <v>15530847.2269821</v>
      </c>
      <c r="R164">
        <v>0.35645134727024302</v>
      </c>
      <c r="S164">
        <v>3.7526631790096299E-3</v>
      </c>
      <c r="T164">
        <v>0.241933313793706</v>
      </c>
      <c r="U164">
        <v>5.9379230279963903E-3</v>
      </c>
      <c r="V164">
        <v>1</v>
      </c>
      <c r="W164">
        <v>0</v>
      </c>
      <c r="X164">
        <v>0.57387775385124995</v>
      </c>
      <c r="Y164">
        <v>0.24454207748611101</v>
      </c>
      <c r="Z164">
        <v>9.6373351045459299E-2</v>
      </c>
      <c r="AA164">
        <v>9.1612187112057898E-4</v>
      </c>
      <c r="AB164">
        <v>86</v>
      </c>
    </row>
    <row r="165" spans="1:28" x14ac:dyDescent="0.25">
      <c r="A165">
        <v>1294</v>
      </c>
      <c r="B165" s="1">
        <v>45448</v>
      </c>
      <c r="C165" t="s">
        <v>394</v>
      </c>
      <c r="D165">
        <v>4.71</v>
      </c>
      <c r="E165">
        <v>905</v>
      </c>
      <c r="F165" t="s">
        <v>103</v>
      </c>
      <c r="G165" t="s">
        <v>395</v>
      </c>
      <c r="H165">
        <v>8021</v>
      </c>
      <c r="I165">
        <f>VLOOKUP(H165,Sheet1!H:AE,2)</f>
        <v>2</v>
      </c>
      <c r="J165" t="str">
        <f>VLOOKUP(H165,Sheet1!H:T,3,FALSE)</f>
        <v>22"</v>
      </c>
      <c r="K165">
        <f>VLOOKUP($H165,Sheet1!H:$AE,4,FALSE)</f>
        <v>150000</v>
      </c>
      <c r="L165" t="str">
        <f>VLOOKUP($H165,Sheet1!$H:$AE,5,FALSE)</f>
        <v>Red Rover</v>
      </c>
      <c r="M165">
        <f>VLOOKUP($H165,Sheet1!$H:$AE,13,FALSE)</f>
        <v>705</v>
      </c>
      <c r="N165">
        <v>2533.7018476933399</v>
      </c>
      <c r="O165">
        <v>2413526.5513565498</v>
      </c>
      <c r="P165">
        <v>15816.8225117699</v>
      </c>
      <c r="Q165">
        <v>23225236.3259059</v>
      </c>
      <c r="R165">
        <v>0.35474116532556899</v>
      </c>
      <c r="S165">
        <v>4.4882904220290201E-3</v>
      </c>
      <c r="T165">
        <v>0.246497407009933</v>
      </c>
      <c r="U165">
        <v>6.4192419294742797E-3</v>
      </c>
      <c r="V165">
        <v>1</v>
      </c>
      <c r="W165">
        <v>0</v>
      </c>
      <c r="X165">
        <v>0.64742693072222601</v>
      </c>
      <c r="Y165">
        <v>0.22826530009763801</v>
      </c>
      <c r="Z165">
        <v>0.107804401875876</v>
      </c>
      <c r="AA165">
        <v>1.1746046050085601E-3</v>
      </c>
      <c r="AB165">
        <v>82</v>
      </c>
    </row>
    <row r="166" spans="1:28" x14ac:dyDescent="0.25">
      <c r="A166">
        <v>1295</v>
      </c>
      <c r="B166" s="1">
        <v>45448</v>
      </c>
      <c r="C166" t="s">
        <v>396</v>
      </c>
      <c r="D166">
        <v>4.71</v>
      </c>
      <c r="E166">
        <v>905</v>
      </c>
      <c r="F166" t="s">
        <v>106</v>
      </c>
      <c r="G166" t="s">
        <v>397</v>
      </c>
      <c r="H166">
        <v>9021</v>
      </c>
      <c r="I166">
        <f>VLOOKUP(H166,Sheet1!H:AE,2)</f>
        <v>3</v>
      </c>
      <c r="J166" t="str">
        <f>VLOOKUP(H166,Sheet1!H:T,3,FALSE)</f>
        <v>22"</v>
      </c>
      <c r="K166">
        <f>VLOOKUP($H166,Sheet1!H:$AE,4,FALSE)</f>
        <v>150000</v>
      </c>
      <c r="L166" t="str">
        <f>VLOOKUP($H166,Sheet1!$H:$AE,5,FALSE)</f>
        <v>Zorro</v>
      </c>
      <c r="M166">
        <f>VLOOKUP($H166,Sheet1!$H:$AE,13,FALSE)</f>
        <v>1887</v>
      </c>
      <c r="N166">
        <v>2520.6928001575902</v>
      </c>
      <c r="O166">
        <v>1840569.22947344</v>
      </c>
      <c r="P166">
        <v>15669.0626906784</v>
      </c>
      <c r="Q166">
        <v>15834108.3415647</v>
      </c>
      <c r="R166">
        <v>0.34557046870531599</v>
      </c>
      <c r="S166">
        <v>3.1366424898158101E-3</v>
      </c>
      <c r="T166">
        <v>0.22689219849400699</v>
      </c>
      <c r="U166">
        <v>5.2921735170899098E-3</v>
      </c>
      <c r="V166">
        <v>0.97888967075293498</v>
      </c>
      <c r="W166">
        <v>2.0664683246228801E-2</v>
      </c>
      <c r="X166">
        <v>0.51797250289879004</v>
      </c>
      <c r="Y166">
        <v>0.2496769891399</v>
      </c>
      <c r="Z166">
        <v>0.10209411788841601</v>
      </c>
      <c r="AA166">
        <v>8.5563714117808899E-4</v>
      </c>
      <c r="AB166">
        <v>81</v>
      </c>
    </row>
    <row r="167" spans="1:28" x14ac:dyDescent="0.25">
      <c r="A167">
        <v>1296</v>
      </c>
      <c r="B167" s="1">
        <v>45448</v>
      </c>
      <c r="C167" t="s">
        <v>398</v>
      </c>
      <c r="D167">
        <v>4.71</v>
      </c>
      <c r="E167">
        <v>905</v>
      </c>
      <c r="F167" t="s">
        <v>109</v>
      </c>
      <c r="G167" t="s">
        <v>399</v>
      </c>
      <c r="H167">
        <v>10021</v>
      </c>
      <c r="I167">
        <f>VLOOKUP(H167,Sheet1!H:AE,2)</f>
        <v>3</v>
      </c>
      <c r="J167" t="str">
        <f>VLOOKUP(H167,Sheet1!H:T,3,FALSE)</f>
        <v>22"</v>
      </c>
      <c r="K167">
        <f>VLOOKUP($H167,Sheet1!H:$AE,4,FALSE)</f>
        <v>150000</v>
      </c>
      <c r="L167" t="str">
        <f>VLOOKUP($H167,Sheet1!$H:$AE,5,FALSE)</f>
        <v>T9905</v>
      </c>
      <c r="M167">
        <f>VLOOKUP($H167,Sheet1!$H:$AE,13,FALSE)</f>
        <v>2498</v>
      </c>
      <c r="N167">
        <v>2627.45533788376</v>
      </c>
      <c r="O167">
        <v>1161218.7392935101</v>
      </c>
      <c r="P167">
        <v>16722.907061202699</v>
      </c>
      <c r="Q167">
        <v>13684477.6182702</v>
      </c>
      <c r="R167">
        <v>0.306543971278463</v>
      </c>
      <c r="S167">
        <v>2.59163973173811E-3</v>
      </c>
      <c r="T167">
        <v>0.21926492480006901</v>
      </c>
      <c r="U167">
        <v>2.7850310948928799E-3</v>
      </c>
      <c r="V167">
        <v>1</v>
      </c>
      <c r="W167">
        <v>0</v>
      </c>
      <c r="X167">
        <v>0.53597754566787803</v>
      </c>
      <c r="Y167">
        <v>0.24870561620759399</v>
      </c>
      <c r="Z167">
        <v>7.7678776515304901E-2</v>
      </c>
      <c r="AA167">
        <v>1.12397102936487E-3</v>
      </c>
      <c r="AB167">
        <v>74</v>
      </c>
    </row>
    <row r="168" spans="1:28" x14ac:dyDescent="0.25">
      <c r="A168">
        <v>1297</v>
      </c>
      <c r="B168" s="1">
        <v>45448</v>
      </c>
      <c r="C168" t="s">
        <v>400</v>
      </c>
      <c r="D168">
        <v>4.71</v>
      </c>
      <c r="E168">
        <v>905</v>
      </c>
      <c r="F168" t="s">
        <v>112</v>
      </c>
      <c r="G168" t="s">
        <v>401</v>
      </c>
      <c r="H168">
        <v>11021</v>
      </c>
      <c r="I168">
        <f>VLOOKUP(H168,Sheet1!H:AE,2)</f>
        <v>3</v>
      </c>
      <c r="J168" t="str">
        <f>VLOOKUP(H168,Sheet1!H:T,3,FALSE)</f>
        <v>22"</v>
      </c>
      <c r="K168">
        <f>VLOOKUP($H168,Sheet1!H:$AE,4,FALSE)</f>
        <v>150000</v>
      </c>
      <c r="L168" t="str">
        <f>VLOOKUP($H168,Sheet1!$H:$AE,5,FALSE)</f>
        <v>CLERK</v>
      </c>
      <c r="M168">
        <f>VLOOKUP($H168,Sheet1!$H:$AE,13,FALSE)</f>
        <v>893</v>
      </c>
      <c r="N168">
        <v>2651.9883779338302</v>
      </c>
      <c r="O168">
        <v>2228997.0670266501</v>
      </c>
      <c r="P168">
        <v>16119.756053168199</v>
      </c>
      <c r="Q168">
        <v>18945992.309893001</v>
      </c>
      <c r="R168">
        <v>0.34874760701846902</v>
      </c>
      <c r="S168">
        <v>3.0544173244185001E-3</v>
      </c>
      <c r="T168">
        <v>0.23454822193432801</v>
      </c>
      <c r="U168">
        <v>5.2028441766356704E-3</v>
      </c>
      <c r="V168">
        <v>0.99696307544164997</v>
      </c>
      <c r="W168">
        <v>3.0277016475686001E-3</v>
      </c>
      <c r="X168">
        <v>0.61454010030828699</v>
      </c>
      <c r="Y168">
        <v>0.236880565420963</v>
      </c>
      <c r="Z168">
        <v>0.116475845461096</v>
      </c>
      <c r="AA168">
        <v>8.8454664812347703E-4</v>
      </c>
      <c r="AB168">
        <v>85</v>
      </c>
    </row>
    <row r="169" spans="1:28" x14ac:dyDescent="0.25">
      <c r="A169">
        <v>1298</v>
      </c>
      <c r="B169" s="1">
        <v>45448</v>
      </c>
      <c r="C169" t="s">
        <v>402</v>
      </c>
      <c r="D169">
        <v>4.71</v>
      </c>
      <c r="E169">
        <v>905</v>
      </c>
      <c r="F169" t="s">
        <v>115</v>
      </c>
      <c r="G169" t="s">
        <v>403</v>
      </c>
      <c r="H169">
        <v>12021</v>
      </c>
      <c r="I169">
        <f>VLOOKUP(H169,Sheet1!H:AE,2)</f>
        <v>3</v>
      </c>
      <c r="J169" t="str">
        <f>VLOOKUP(H169,Sheet1!H:T,3,FALSE)</f>
        <v>22"</v>
      </c>
      <c r="K169">
        <f>VLOOKUP($H169,Sheet1!H:$AE,4,FALSE)</f>
        <v>150000</v>
      </c>
      <c r="L169" t="str">
        <f>VLOOKUP($H169,Sheet1!$H:$AE,5,FALSE)</f>
        <v>Red Dawn</v>
      </c>
      <c r="M169">
        <f>VLOOKUP($H169,Sheet1!$H:$AE,13,FALSE)</f>
        <v>509</v>
      </c>
      <c r="N169">
        <v>2385.8726017413201</v>
      </c>
      <c r="O169">
        <v>2070776.93384453</v>
      </c>
      <c r="P169">
        <v>15460.9696766661</v>
      </c>
      <c r="Q169">
        <v>18871513.062333401</v>
      </c>
      <c r="R169">
        <v>0.37388725034550302</v>
      </c>
      <c r="S169">
        <v>3.36330820967595E-3</v>
      </c>
      <c r="T169">
        <v>0.24892269036231399</v>
      </c>
      <c r="U169">
        <v>5.4119209069885101E-3</v>
      </c>
      <c r="V169">
        <v>0.98114884633902399</v>
      </c>
      <c r="W169">
        <v>1.8495787666619901E-2</v>
      </c>
      <c r="X169">
        <v>0.50527303848489802</v>
      </c>
      <c r="Y169">
        <v>0.24997219506489199</v>
      </c>
      <c r="Z169">
        <v>0.101541433721954</v>
      </c>
      <c r="AA169">
        <v>8.1137284474565199E-4</v>
      </c>
      <c r="AB169">
        <v>72</v>
      </c>
    </row>
    <row r="170" spans="1:28" x14ac:dyDescent="0.25">
      <c r="A170">
        <v>1299</v>
      </c>
      <c r="B170" s="1">
        <v>45448</v>
      </c>
      <c r="C170" t="s">
        <v>404</v>
      </c>
      <c r="D170">
        <v>4.71</v>
      </c>
      <c r="E170">
        <v>905</v>
      </c>
      <c r="F170" t="s">
        <v>118</v>
      </c>
      <c r="G170" t="s">
        <v>405</v>
      </c>
      <c r="H170">
        <v>13021</v>
      </c>
      <c r="I170">
        <f>VLOOKUP(H170,Sheet1!H:AE,2)</f>
        <v>3</v>
      </c>
      <c r="J170" t="str">
        <f>VLOOKUP(H170,Sheet1!H:T,3,FALSE)</f>
        <v>22"</v>
      </c>
      <c r="K170">
        <f>VLOOKUP($H170,Sheet1!H:$AE,4,FALSE)</f>
        <v>150000</v>
      </c>
      <c r="L170" t="str">
        <f>VLOOKUP($H170,Sheet1!$H:$AE,5,FALSE)</f>
        <v>Apex</v>
      </c>
      <c r="M170">
        <f>VLOOKUP($H170,Sheet1!$H:$AE,13,FALSE)</f>
        <v>1817</v>
      </c>
      <c r="N170">
        <v>2436.18340572644</v>
      </c>
      <c r="O170">
        <v>2442588.2820849898</v>
      </c>
      <c r="P170">
        <v>15708.937223862</v>
      </c>
      <c r="Q170">
        <v>19065596.630589601</v>
      </c>
      <c r="R170">
        <v>0.36458489727249599</v>
      </c>
      <c r="S170">
        <v>2.9396242852175302E-3</v>
      </c>
      <c r="T170">
        <v>0.24377581972517601</v>
      </c>
      <c r="U170">
        <v>4.6721367304407204E-3</v>
      </c>
      <c r="V170">
        <v>0.96076071256620099</v>
      </c>
      <c r="W170">
        <v>3.7699565755484797E-2</v>
      </c>
      <c r="X170">
        <v>0.54276406603721405</v>
      </c>
      <c r="Y170">
        <v>0.24817123465597499</v>
      </c>
      <c r="Z170">
        <v>0.100795516765079</v>
      </c>
      <c r="AA170">
        <v>1.1483676572164199E-3</v>
      </c>
      <c r="AB170">
        <v>89</v>
      </c>
    </row>
    <row r="171" spans="1:28" x14ac:dyDescent="0.25">
      <c r="A171">
        <v>1300</v>
      </c>
      <c r="B171" s="1">
        <v>45448</v>
      </c>
      <c r="C171" t="s">
        <v>406</v>
      </c>
      <c r="D171">
        <v>4.71</v>
      </c>
      <c r="E171">
        <v>905</v>
      </c>
      <c r="F171" t="s">
        <v>121</v>
      </c>
      <c r="G171" t="s">
        <v>407</v>
      </c>
      <c r="H171">
        <v>14021</v>
      </c>
      <c r="I171">
        <f>VLOOKUP(H171,Sheet1!H:AE,2)</f>
        <v>3</v>
      </c>
      <c r="J171" t="str">
        <f>VLOOKUP(H171,Sheet1!H:T,3,FALSE)</f>
        <v>22"</v>
      </c>
      <c r="K171">
        <f>VLOOKUP($H171,Sheet1!H:$AE,4,FALSE)</f>
        <v>150000</v>
      </c>
      <c r="L171" t="str">
        <f>VLOOKUP($H171,Sheet1!$H:$AE,5,FALSE)</f>
        <v>ETNA</v>
      </c>
      <c r="M171">
        <f>VLOOKUP($H171,Sheet1!$H:$AE,13,FALSE)</f>
        <v>372</v>
      </c>
      <c r="N171">
        <v>2411.99587318159</v>
      </c>
      <c r="O171">
        <v>1634535.2001976999</v>
      </c>
      <c r="P171">
        <v>15946.3498897509</v>
      </c>
      <c r="Q171">
        <v>18671191.712079499</v>
      </c>
      <c r="R171">
        <v>0.37488549719842501</v>
      </c>
      <c r="S171">
        <v>3.04845150129793E-3</v>
      </c>
      <c r="T171">
        <v>0.25251217502352702</v>
      </c>
      <c r="U171">
        <v>3.7933612686042902E-3</v>
      </c>
      <c r="V171">
        <v>0.78301450026852304</v>
      </c>
      <c r="W171">
        <v>0.169902792637911</v>
      </c>
      <c r="X171">
        <v>0.243643424406673</v>
      </c>
      <c r="Y171">
        <v>0.184281306149959</v>
      </c>
      <c r="Z171">
        <v>0.111427559881838</v>
      </c>
      <c r="AA171">
        <v>9.6879540174686304E-4</v>
      </c>
      <c r="AB171">
        <v>47</v>
      </c>
    </row>
    <row r="172" spans="1:28" x14ac:dyDescent="0.25">
      <c r="A172">
        <v>1303</v>
      </c>
      <c r="B172" s="1">
        <v>45448</v>
      </c>
      <c r="C172" t="s">
        <v>408</v>
      </c>
      <c r="D172">
        <v>4.71</v>
      </c>
      <c r="E172">
        <v>905</v>
      </c>
      <c r="F172" t="s">
        <v>82</v>
      </c>
      <c r="G172" t="s">
        <v>409</v>
      </c>
      <c r="H172">
        <v>1001</v>
      </c>
      <c r="I172">
        <f>VLOOKUP(H172,Sheet1!H:AE,2)</f>
        <v>1</v>
      </c>
      <c r="J172" t="str">
        <f>VLOOKUP(H172,Sheet1!H:T,3,FALSE)</f>
        <v>30"</v>
      </c>
      <c r="K172">
        <f>VLOOKUP($H172,Sheet1!H:$AE,4,FALSE)</f>
        <v>100000</v>
      </c>
      <c r="L172" t="str">
        <f>VLOOKUP($H172,Sheet1!$H:$AE,5,FALSE)</f>
        <v>Nautica</v>
      </c>
      <c r="M172">
        <f>VLOOKUP($H172,Sheet1!$H:$AE,13,FALSE)</f>
        <v>2280</v>
      </c>
      <c r="N172">
        <v>2411.1740195392299</v>
      </c>
      <c r="O172">
        <v>2487952.1203204398</v>
      </c>
      <c r="P172">
        <v>16146.088004757201</v>
      </c>
      <c r="Q172">
        <v>13854818.3764263</v>
      </c>
      <c r="R172">
        <v>0.34386464358376401</v>
      </c>
      <c r="S172">
        <v>2.4845222218662401E-3</v>
      </c>
      <c r="T172">
        <v>0.23340913145992201</v>
      </c>
      <c r="U172">
        <v>2.7674691851128199E-3</v>
      </c>
      <c r="V172">
        <v>0.90265917553716402</v>
      </c>
      <c r="W172">
        <v>8.7865588355983903E-2</v>
      </c>
      <c r="X172">
        <v>0.36373147112863402</v>
      </c>
      <c r="Y172">
        <v>0.23143088803914</v>
      </c>
      <c r="Z172">
        <v>0</v>
      </c>
      <c r="AA172">
        <v>0</v>
      </c>
      <c r="AB172">
        <v>63</v>
      </c>
    </row>
    <row r="173" spans="1:28" x14ac:dyDescent="0.25">
      <c r="A173">
        <v>1304</v>
      </c>
      <c r="B173" s="1">
        <v>45448</v>
      </c>
      <c r="C173" t="s">
        <v>410</v>
      </c>
      <c r="D173">
        <v>4.71</v>
      </c>
      <c r="E173">
        <v>905</v>
      </c>
      <c r="F173" t="s">
        <v>85</v>
      </c>
      <c r="G173" t="s">
        <v>411</v>
      </c>
      <c r="H173">
        <v>2001</v>
      </c>
      <c r="I173">
        <f>VLOOKUP(H173,Sheet1!H:AE,2)</f>
        <v>1</v>
      </c>
      <c r="J173" t="str">
        <f>VLOOKUP(H173,Sheet1!H:T,3,FALSE)</f>
        <v>30"</v>
      </c>
      <c r="K173">
        <f>VLOOKUP($H173,Sheet1!H:$AE,4,FALSE)</f>
        <v>100000</v>
      </c>
      <c r="L173" t="str">
        <f>VLOOKUP($H173,Sheet1!$H:$AE,5,FALSE)</f>
        <v>CLERK</v>
      </c>
      <c r="M173">
        <f>VLOOKUP($H173,Sheet1!$H:$AE,13,FALSE)</f>
        <v>776</v>
      </c>
      <c r="N173">
        <v>2594.86725824737</v>
      </c>
      <c r="O173">
        <v>1927753.7192754999</v>
      </c>
      <c r="P173">
        <v>16244.403952942799</v>
      </c>
      <c r="Q173">
        <v>17479032.235831302</v>
      </c>
      <c r="R173">
        <v>0.36089171198208803</v>
      </c>
      <c r="S173">
        <v>2.6374651254589998E-3</v>
      </c>
      <c r="T173">
        <v>0.23661498097429001</v>
      </c>
      <c r="U173">
        <v>3.3496707156312699E-3</v>
      </c>
      <c r="V173">
        <v>0.99703943472940404</v>
      </c>
      <c r="W173">
        <v>2.9518003238801801E-3</v>
      </c>
      <c r="X173">
        <v>0.49579886880047003</v>
      </c>
      <c r="Y173">
        <v>0.24998235049669401</v>
      </c>
      <c r="Z173">
        <v>0</v>
      </c>
      <c r="AA173">
        <v>0</v>
      </c>
      <c r="AB173">
        <v>79</v>
      </c>
    </row>
    <row r="174" spans="1:28" x14ac:dyDescent="0.25">
      <c r="A174">
        <v>1305</v>
      </c>
      <c r="B174" s="1">
        <v>45448</v>
      </c>
      <c r="C174" t="s">
        <v>412</v>
      </c>
      <c r="D174">
        <v>4.71</v>
      </c>
      <c r="E174">
        <v>905</v>
      </c>
      <c r="F174" t="s">
        <v>88</v>
      </c>
      <c r="G174" s="2" t="s">
        <v>413</v>
      </c>
      <c r="H174">
        <v>3001</v>
      </c>
      <c r="I174">
        <f>VLOOKUP(H174,Sheet1!H:AE,2)</f>
        <v>1</v>
      </c>
      <c r="J174" t="str">
        <f>VLOOKUP(H174,Sheet1!H:T,3,FALSE)</f>
        <v>30"</v>
      </c>
      <c r="K174">
        <f>VLOOKUP($H174,Sheet1!H:$AE,4,FALSE)</f>
        <v>100000</v>
      </c>
      <c r="L174" t="str">
        <f>VLOOKUP($H174,Sheet1!$H:$AE,5,FALSE)</f>
        <v>Windbreaker</v>
      </c>
      <c r="M174">
        <f>VLOOKUP($H174,Sheet1!$H:$AE,13,FALSE)</f>
        <v>2005</v>
      </c>
      <c r="N174">
        <v>2814.6209131116302</v>
      </c>
      <c r="O174">
        <v>2074104.61449491</v>
      </c>
      <c r="P174">
        <v>16696.6867883573</v>
      </c>
      <c r="Q174">
        <v>16205378.178427599</v>
      </c>
      <c r="R174">
        <v>0.35507554617491099</v>
      </c>
      <c r="S174">
        <v>2.77772175313431E-3</v>
      </c>
      <c r="T174">
        <v>0.232736481682732</v>
      </c>
      <c r="U174">
        <v>4.1276065132596698E-3</v>
      </c>
      <c r="V174">
        <v>0.99182883985315595</v>
      </c>
      <c r="W174">
        <v>8.1043922886830395E-3</v>
      </c>
      <c r="X174">
        <v>0.61374038813621301</v>
      </c>
      <c r="Y174">
        <v>0.237063124106591</v>
      </c>
      <c r="Z174">
        <v>0.10455132394219099</v>
      </c>
      <c r="AA174">
        <v>9.9505154427514996E-4</v>
      </c>
      <c r="AB174">
        <v>63</v>
      </c>
    </row>
    <row r="175" spans="1:28" x14ac:dyDescent="0.25">
      <c r="A175">
        <v>1306</v>
      </c>
      <c r="B175" s="1">
        <v>45448</v>
      </c>
      <c r="C175" t="s">
        <v>414</v>
      </c>
      <c r="D175">
        <v>4.71</v>
      </c>
      <c r="E175">
        <v>905</v>
      </c>
      <c r="F175" t="s">
        <v>91</v>
      </c>
      <c r="G175" t="s">
        <v>415</v>
      </c>
      <c r="H175">
        <v>4001</v>
      </c>
      <c r="I175">
        <f>VLOOKUP(H175,Sheet1!H:AE,2)</f>
        <v>1</v>
      </c>
      <c r="J175" t="str">
        <f>VLOOKUP(H175,Sheet1!H:T,3,FALSE)</f>
        <v>30"</v>
      </c>
      <c r="K175">
        <f>VLOOKUP($H175,Sheet1!H:$AE,4,FALSE)</f>
        <v>100000</v>
      </c>
      <c r="L175" t="str">
        <f>VLOOKUP($H175,Sheet1!$H:$AE,5,FALSE)</f>
        <v>Zorro</v>
      </c>
      <c r="M175">
        <f>VLOOKUP($H175,Sheet1!$H:$AE,13,FALSE)</f>
        <v>1913</v>
      </c>
      <c r="N175">
        <v>2786.4274917071398</v>
      </c>
      <c r="O175">
        <v>1745368.84466978</v>
      </c>
      <c r="P175">
        <v>16887.359356163299</v>
      </c>
      <c r="Q175">
        <v>17461896.691082101</v>
      </c>
      <c r="R175">
        <v>0.349696126872238</v>
      </c>
      <c r="S175">
        <v>2.80086344859479E-3</v>
      </c>
      <c r="T175">
        <v>0.230348215312699</v>
      </c>
      <c r="U175">
        <v>3.5062330306620299E-3</v>
      </c>
      <c r="V175">
        <v>0.96130314074814804</v>
      </c>
      <c r="W175">
        <v>3.7199412335832002E-2</v>
      </c>
      <c r="X175">
        <v>0.45436356146648599</v>
      </c>
      <c r="Y175">
        <v>0.247917315478239</v>
      </c>
      <c r="Z175">
        <v>9.4957034091235501E-2</v>
      </c>
      <c r="AA175">
        <v>8.4252624967331795E-4</v>
      </c>
      <c r="AB175">
        <v>78</v>
      </c>
    </row>
    <row r="176" spans="1:28" x14ac:dyDescent="0.25">
      <c r="A176">
        <v>1307</v>
      </c>
      <c r="B176" s="1">
        <v>45448</v>
      </c>
      <c r="C176" t="s">
        <v>416</v>
      </c>
      <c r="D176">
        <v>4.71</v>
      </c>
      <c r="E176">
        <v>905</v>
      </c>
      <c r="F176" t="s">
        <v>94</v>
      </c>
      <c r="G176" t="s">
        <v>417</v>
      </c>
      <c r="H176">
        <v>5001</v>
      </c>
      <c r="I176">
        <f>VLOOKUP(H176,Sheet1!H:AE,2)</f>
        <v>1</v>
      </c>
      <c r="J176" t="str">
        <f>VLOOKUP(H176,Sheet1!H:T,3,FALSE)</f>
        <v>30"</v>
      </c>
      <c r="K176">
        <f>VLOOKUP($H176,Sheet1!H:$AE,4,FALSE)</f>
        <v>100000</v>
      </c>
      <c r="L176" t="str">
        <f>VLOOKUP($H176,Sheet1!$H:$AE,5,FALSE)</f>
        <v>Eclipse</v>
      </c>
      <c r="M176">
        <f>VLOOKUP($H176,Sheet1!$H:$AE,13,FALSE)</f>
        <v>1984</v>
      </c>
      <c r="N176">
        <v>2724.32837387677</v>
      </c>
      <c r="O176">
        <v>1475827.8139996701</v>
      </c>
      <c r="P176">
        <v>16592.242145963199</v>
      </c>
      <c r="Q176">
        <v>16509074.822987201</v>
      </c>
      <c r="R176">
        <v>0.34983492777770397</v>
      </c>
      <c r="S176">
        <v>2.9709517905242501E-3</v>
      </c>
      <c r="T176">
        <v>0.231025346903137</v>
      </c>
      <c r="U176">
        <v>3.9185550505906096E-3</v>
      </c>
      <c r="V176">
        <v>0.99001302648719103</v>
      </c>
      <c r="W176">
        <v>9.8872338728680596E-3</v>
      </c>
      <c r="X176">
        <v>0.45795327487789</v>
      </c>
      <c r="Y176">
        <v>0.248232072907006</v>
      </c>
      <c r="Z176">
        <v>9.0307155243878806E-2</v>
      </c>
      <c r="AA176">
        <v>9.5910824056944801E-4</v>
      </c>
      <c r="AB176">
        <v>108</v>
      </c>
    </row>
    <row r="177" spans="1:28" x14ac:dyDescent="0.25">
      <c r="A177">
        <v>1308</v>
      </c>
      <c r="B177" s="1">
        <v>45448</v>
      </c>
      <c r="C177" t="s">
        <v>418</v>
      </c>
      <c r="D177">
        <v>4.71</v>
      </c>
      <c r="E177">
        <v>905</v>
      </c>
      <c r="F177" t="s">
        <v>97</v>
      </c>
      <c r="G177" t="s">
        <v>419</v>
      </c>
      <c r="H177">
        <v>6001</v>
      </c>
      <c r="I177">
        <f>VLOOKUP(H177,Sheet1!H:AE,2)</f>
        <v>2</v>
      </c>
      <c r="J177" t="str">
        <f>VLOOKUP(H177,Sheet1!H:T,3,FALSE)</f>
        <v>30"</v>
      </c>
      <c r="K177">
        <f>VLOOKUP($H177,Sheet1!H:$AE,4,FALSE)</f>
        <v>100000</v>
      </c>
      <c r="L177" t="str">
        <f>VLOOKUP($H177,Sheet1!$H:$AE,5,FALSE)</f>
        <v>Apex</v>
      </c>
      <c r="M177">
        <f>VLOOKUP($H177,Sheet1!$H:$AE,13,FALSE)</f>
        <v>1692</v>
      </c>
      <c r="N177">
        <v>2619.4042563614498</v>
      </c>
      <c r="O177">
        <v>1990040.4191496701</v>
      </c>
      <c r="P177">
        <v>16807.6255004425</v>
      </c>
      <c r="Q177">
        <v>18531402.361303002</v>
      </c>
      <c r="R177">
        <v>0.34733271428218598</v>
      </c>
      <c r="S177">
        <v>2.6890194685377298E-3</v>
      </c>
      <c r="T177">
        <v>0.22160355429901901</v>
      </c>
      <c r="U177">
        <v>3.3862619906520701E-3</v>
      </c>
      <c r="V177">
        <v>0.71987789313017303</v>
      </c>
      <c r="W177">
        <v>0.20165371211239499</v>
      </c>
      <c r="X177">
        <v>0.25909191960140698</v>
      </c>
      <c r="Y177">
        <v>0.19196329679868401</v>
      </c>
      <c r="Z177">
        <v>8.5872909838574096E-2</v>
      </c>
      <c r="AA177">
        <v>8.7433742098954204E-4</v>
      </c>
      <c r="AB177">
        <v>39</v>
      </c>
    </row>
    <row r="178" spans="1:28" x14ac:dyDescent="0.25">
      <c r="A178">
        <v>1310</v>
      </c>
      <c r="B178" s="1">
        <v>45448</v>
      </c>
      <c r="C178" t="s">
        <v>420</v>
      </c>
      <c r="D178">
        <v>4.71</v>
      </c>
      <c r="E178">
        <v>905</v>
      </c>
      <c r="F178" t="s">
        <v>103</v>
      </c>
      <c r="G178" s="2" t="s">
        <v>421</v>
      </c>
      <c r="H178">
        <v>8001</v>
      </c>
      <c r="I178">
        <f>VLOOKUP(H178,Sheet1!H:AE,2)</f>
        <v>2</v>
      </c>
      <c r="J178" t="str">
        <f>VLOOKUP(H178,Sheet1!H:T,3,FALSE)</f>
        <v>30"</v>
      </c>
      <c r="K178">
        <f>VLOOKUP($H178,Sheet1!H:$AE,4,FALSE)</f>
        <v>100000</v>
      </c>
      <c r="L178" t="str">
        <f>VLOOKUP($H178,Sheet1!$H:$AE,5,FALSE)</f>
        <v>ETNA</v>
      </c>
      <c r="M178">
        <f>VLOOKUP($H178,Sheet1!$H:$AE,13,FALSE)</f>
        <v>1117</v>
      </c>
      <c r="N178">
        <v>2667.0385387872202</v>
      </c>
      <c r="O178">
        <v>1883733.99031991</v>
      </c>
      <c r="P178">
        <v>16902.0509986818</v>
      </c>
      <c r="Q178">
        <v>17403095.6276564</v>
      </c>
      <c r="R178">
        <v>0.36658644386289202</v>
      </c>
      <c r="S178">
        <v>3.0229094794060902E-3</v>
      </c>
      <c r="T178">
        <v>0.23465017437876801</v>
      </c>
      <c r="U178">
        <v>4.1783552393146201E-3</v>
      </c>
      <c r="V178">
        <v>0.97614442295293402</v>
      </c>
      <c r="W178">
        <v>2.3286488490750198E-2</v>
      </c>
      <c r="X178">
        <v>0.45936455833600298</v>
      </c>
      <c r="Y178">
        <v>0.24834876088087901</v>
      </c>
      <c r="Z178">
        <v>9.6373351045459299E-2</v>
      </c>
      <c r="AA178">
        <v>9.1612187112057898E-4</v>
      </c>
      <c r="AB178">
        <v>80</v>
      </c>
    </row>
    <row r="179" spans="1:28" x14ac:dyDescent="0.25">
      <c r="A179">
        <v>1311</v>
      </c>
      <c r="B179" s="1">
        <v>45448</v>
      </c>
      <c r="C179" t="s">
        <v>422</v>
      </c>
      <c r="D179">
        <v>4.71</v>
      </c>
      <c r="E179">
        <v>905</v>
      </c>
      <c r="F179" t="s">
        <v>106</v>
      </c>
      <c r="G179" t="s">
        <v>423</v>
      </c>
      <c r="H179">
        <v>9001</v>
      </c>
      <c r="I179">
        <f>VLOOKUP(H179,Sheet1!H:AE,2)</f>
        <v>2</v>
      </c>
      <c r="J179" t="str">
        <f>VLOOKUP(H179,Sheet1!H:T,3,FALSE)</f>
        <v>30"</v>
      </c>
      <c r="K179">
        <f>VLOOKUP($H179,Sheet1!H:$AE,4,FALSE)</f>
        <v>100000</v>
      </c>
      <c r="L179" t="str">
        <f>VLOOKUP($H179,Sheet1!$H:$AE,5,FALSE)</f>
        <v>black bear</v>
      </c>
      <c r="M179">
        <f>VLOOKUP($H179,Sheet1!$H:$AE,13,FALSE)</f>
        <v>2107</v>
      </c>
      <c r="N179">
        <v>2589.7650496172</v>
      </c>
      <c r="O179">
        <v>1356530.5344451801</v>
      </c>
      <c r="P179">
        <v>16717.914889139502</v>
      </c>
      <c r="Q179">
        <v>15731340.600480899</v>
      </c>
      <c r="R179">
        <v>0.36594714368843601</v>
      </c>
      <c r="S179">
        <v>2.66990056049757E-3</v>
      </c>
      <c r="T179">
        <v>0.23596388296250301</v>
      </c>
      <c r="U179">
        <v>3.3610329657260398E-3</v>
      </c>
      <c r="V179">
        <v>0.993223773371403</v>
      </c>
      <c r="W179">
        <v>6.7303093812753501E-3</v>
      </c>
      <c r="X179">
        <v>0.51815768481345303</v>
      </c>
      <c r="Y179">
        <v>0.249670298482668</v>
      </c>
      <c r="Z179">
        <v>0.10110541394801099</v>
      </c>
      <c r="AA179">
        <v>9.53161722864121E-4</v>
      </c>
      <c r="AB179">
        <v>71</v>
      </c>
    </row>
    <row r="180" spans="1:28" x14ac:dyDescent="0.25">
      <c r="A180">
        <v>1312</v>
      </c>
      <c r="B180" s="1">
        <v>45448</v>
      </c>
      <c r="C180" t="s">
        <v>424</v>
      </c>
      <c r="D180">
        <v>4.71</v>
      </c>
      <c r="E180">
        <v>905</v>
      </c>
      <c r="F180" t="s">
        <v>109</v>
      </c>
      <c r="G180" t="s">
        <v>425</v>
      </c>
      <c r="H180">
        <v>10001</v>
      </c>
      <c r="I180">
        <f>VLOOKUP(H180,Sheet1!H:AE,2)</f>
        <v>3</v>
      </c>
      <c r="J180" t="str">
        <f>VLOOKUP(H180,Sheet1!H:T,3,FALSE)</f>
        <v>30"</v>
      </c>
      <c r="K180">
        <f>VLOOKUP($H180,Sheet1!H:$AE,4,FALSE)</f>
        <v>100000</v>
      </c>
      <c r="L180" t="str">
        <f>VLOOKUP($H180,Sheet1!$H:$AE,5,FALSE)</f>
        <v>Ronnies red</v>
      </c>
      <c r="M180">
        <f>VLOOKUP($H180,Sheet1!$H:$AE,13,FALSE)</f>
        <v>729</v>
      </c>
      <c r="N180">
        <v>2297.8439041800498</v>
      </c>
      <c r="O180">
        <v>1825325.0665972601</v>
      </c>
      <c r="P180">
        <v>16424.643469443799</v>
      </c>
      <c r="Q180">
        <v>16823702.438114401</v>
      </c>
      <c r="R180">
        <v>0.34924345380722499</v>
      </c>
      <c r="S180">
        <v>3.1592550568724201E-3</v>
      </c>
      <c r="T180">
        <v>0.234080924410597</v>
      </c>
      <c r="U180">
        <v>3.4885035633173702E-3</v>
      </c>
      <c r="V180">
        <v>0.99593421052631603</v>
      </c>
      <c r="W180">
        <v>4.0492588296339796E-3</v>
      </c>
      <c r="X180">
        <v>0.37745447412299299</v>
      </c>
      <c r="Y180">
        <v>0.23498259408762701</v>
      </c>
      <c r="Z180">
        <v>0.10209411788841601</v>
      </c>
      <c r="AA180">
        <v>8.5563714117808899E-4</v>
      </c>
      <c r="AB180">
        <v>60</v>
      </c>
    </row>
    <row r="181" spans="1:28" x14ac:dyDescent="0.25">
      <c r="A181">
        <v>1313</v>
      </c>
      <c r="B181" s="1">
        <v>45448</v>
      </c>
      <c r="C181" t="s">
        <v>426</v>
      </c>
      <c r="D181">
        <v>4.71</v>
      </c>
      <c r="E181">
        <v>905</v>
      </c>
      <c r="F181" t="s">
        <v>112</v>
      </c>
      <c r="G181" s="2" t="s">
        <v>427</v>
      </c>
      <c r="H181">
        <v>11001</v>
      </c>
      <c r="I181">
        <f>VLOOKUP(H181,Sheet1!H:AE,2)</f>
        <v>3</v>
      </c>
      <c r="J181" t="str">
        <f>VLOOKUP(H181,Sheet1!H:T,3,FALSE)</f>
        <v>30"</v>
      </c>
      <c r="K181">
        <f>VLOOKUP($H181,Sheet1!H:$AE,4,FALSE)</f>
        <v>100000</v>
      </c>
      <c r="L181" t="str">
        <f>VLOOKUP($H181,Sheet1!$H:$AE,5,FALSE)</f>
        <v>T9905</v>
      </c>
      <c r="M181">
        <f>VLOOKUP($H181,Sheet1!$H:$AE,13,FALSE)</f>
        <v>2115</v>
      </c>
      <c r="N181">
        <v>2571.7022037468601</v>
      </c>
      <c r="O181">
        <v>1123107.3588970599</v>
      </c>
      <c r="P181">
        <v>16876.580007551402</v>
      </c>
      <c r="Q181">
        <v>13312723.154338</v>
      </c>
      <c r="R181">
        <v>0.35079155812145701</v>
      </c>
      <c r="S181">
        <v>2.0049306546149098E-3</v>
      </c>
      <c r="T181">
        <v>0.22073995563211499</v>
      </c>
      <c r="U181">
        <v>1.8928995897696101E-3</v>
      </c>
      <c r="V181">
        <v>0.97459277387437204</v>
      </c>
      <c r="W181">
        <v>2.4761698986194E-2</v>
      </c>
      <c r="X181">
        <v>0.33250510017262103</v>
      </c>
      <c r="Y181">
        <v>0.22194545853169001</v>
      </c>
      <c r="Z181">
        <v>7.7678776515304901E-2</v>
      </c>
      <c r="AA181">
        <v>1.12397102936487E-3</v>
      </c>
      <c r="AB181">
        <v>54</v>
      </c>
    </row>
    <row r="182" spans="1:28" x14ac:dyDescent="0.25">
      <c r="A182">
        <v>1314</v>
      </c>
      <c r="B182" s="1">
        <v>45448</v>
      </c>
      <c r="C182" t="s">
        <v>428</v>
      </c>
      <c r="D182">
        <v>4.71</v>
      </c>
      <c r="E182">
        <v>905</v>
      </c>
      <c r="F182" t="s">
        <v>115</v>
      </c>
      <c r="G182" t="s">
        <v>429</v>
      </c>
      <c r="H182">
        <v>12001</v>
      </c>
      <c r="I182">
        <f>VLOOKUP(H182,Sheet1!H:AE,2)</f>
        <v>3</v>
      </c>
      <c r="J182" t="str">
        <f>VLOOKUP(H182,Sheet1!H:T,3,FALSE)</f>
        <v>30"</v>
      </c>
      <c r="K182">
        <f>VLOOKUP($H182,Sheet1!H:$AE,4,FALSE)</f>
        <v>100000</v>
      </c>
      <c r="L182" t="str">
        <f>VLOOKUP($H182,Sheet1!$H:$AE,5,FALSE)</f>
        <v>Red Rover</v>
      </c>
      <c r="M182">
        <f>VLOOKUP($H182,Sheet1!$H:$AE,13,FALSE)</f>
        <v>817</v>
      </c>
      <c r="N182">
        <v>2828.4222559695399</v>
      </c>
      <c r="O182">
        <v>1802961.0009052099</v>
      </c>
      <c r="P182">
        <v>16618.1578793792</v>
      </c>
      <c r="Q182">
        <v>17886383.268503301</v>
      </c>
      <c r="R182">
        <v>0.374044224246455</v>
      </c>
      <c r="S182">
        <v>3.01371772351896E-3</v>
      </c>
      <c r="T182">
        <v>0.235044700674269</v>
      </c>
      <c r="U182">
        <v>4.0067218643330396E-3</v>
      </c>
      <c r="V182">
        <v>0.99947369806057695</v>
      </c>
      <c r="W182">
        <v>5.2602494569089304E-4</v>
      </c>
      <c r="X182">
        <v>0.56771831170104903</v>
      </c>
      <c r="Y182">
        <v>0.24541423026085901</v>
      </c>
      <c r="Z182">
        <v>0.116475845461096</v>
      </c>
      <c r="AA182">
        <v>8.8454664812347703E-4</v>
      </c>
      <c r="AB182">
        <v>85</v>
      </c>
    </row>
    <row r="183" spans="1:28" x14ac:dyDescent="0.25">
      <c r="A183">
        <v>1315</v>
      </c>
      <c r="B183" s="1">
        <v>45448</v>
      </c>
      <c r="C183" t="s">
        <v>430</v>
      </c>
      <c r="D183">
        <v>4.71</v>
      </c>
      <c r="E183">
        <v>905</v>
      </c>
      <c r="F183" t="s">
        <v>118</v>
      </c>
      <c r="G183" t="s">
        <v>431</v>
      </c>
      <c r="H183">
        <v>13001</v>
      </c>
      <c r="I183">
        <f>VLOOKUP(H183,Sheet1!H:AE,2)</f>
        <v>3</v>
      </c>
      <c r="J183" t="str">
        <f>VLOOKUP(H183,Sheet1!H:T,3,FALSE)</f>
        <v>30"</v>
      </c>
      <c r="K183">
        <f>VLOOKUP($H183,Sheet1!H:$AE,4,FALSE)</f>
        <v>100000</v>
      </c>
      <c r="L183" t="str">
        <f>VLOOKUP($H183,Sheet1!$H:$AE,5,FALSE)</f>
        <v>Merlot</v>
      </c>
      <c r="M183">
        <f>VLOOKUP($H183,Sheet1!$H:$AE,13,FALSE)</f>
        <v>1757</v>
      </c>
      <c r="N183">
        <v>2740.5154836136098</v>
      </c>
      <c r="O183">
        <v>1178772.9444758899</v>
      </c>
      <c r="P183">
        <v>17106.389432727199</v>
      </c>
      <c r="Q183">
        <v>14589260.2827635</v>
      </c>
      <c r="R183">
        <v>0.36253288438440601</v>
      </c>
      <c r="S183">
        <v>2.1184952729240598E-3</v>
      </c>
      <c r="T183">
        <v>0.23190477373372201</v>
      </c>
      <c r="U183">
        <v>1.8084877246782999E-3</v>
      </c>
      <c r="V183">
        <v>0.843133642978382</v>
      </c>
      <c r="W183">
        <v>0.13225930305633701</v>
      </c>
      <c r="X183">
        <v>0.46429271992572102</v>
      </c>
      <c r="Y183">
        <v>0.24872499014965299</v>
      </c>
      <c r="Z183">
        <v>0.101541433721954</v>
      </c>
      <c r="AA183">
        <v>8.1137284474565199E-4</v>
      </c>
      <c r="AB183">
        <v>36</v>
      </c>
    </row>
    <row r="184" spans="1:28" x14ac:dyDescent="0.25">
      <c r="A184">
        <v>1316</v>
      </c>
      <c r="B184" s="1">
        <v>45448</v>
      </c>
      <c r="C184" t="s">
        <v>432</v>
      </c>
      <c r="D184">
        <v>4.71</v>
      </c>
      <c r="E184">
        <v>905</v>
      </c>
      <c r="F184" t="s">
        <v>121</v>
      </c>
      <c r="G184" t="s">
        <v>433</v>
      </c>
      <c r="H184">
        <v>14001</v>
      </c>
      <c r="I184">
        <f>VLOOKUP(H184,Sheet1!H:AE,2)</f>
        <v>3</v>
      </c>
      <c r="J184" t="str">
        <f>VLOOKUP(H184,Sheet1!H:T,3,FALSE)</f>
        <v>30"</v>
      </c>
      <c r="K184">
        <f>VLOOKUP($H184,Sheet1!H:$AE,4,FALSE)</f>
        <v>100000</v>
      </c>
      <c r="L184" t="str">
        <f>VLOOKUP($H184,Sheet1!$H:$AE,5,FALSE)</f>
        <v>Red Dawn</v>
      </c>
      <c r="M184">
        <f>VLOOKUP($H184,Sheet1!$H:$AE,13,FALSE)</f>
        <v>547</v>
      </c>
      <c r="N184">
        <v>2878.0699124519701</v>
      </c>
      <c r="O184">
        <v>2105029.8874932998</v>
      </c>
      <c r="P184">
        <v>16394.426443656401</v>
      </c>
      <c r="Q184">
        <v>18429965.290527798</v>
      </c>
      <c r="R184">
        <v>0.37826429670674799</v>
      </c>
      <c r="S184">
        <v>3.26680526052663E-3</v>
      </c>
      <c r="T184">
        <v>0.25794735901351501</v>
      </c>
      <c r="U184">
        <v>4.7020138346026098E-3</v>
      </c>
      <c r="V184">
        <v>1</v>
      </c>
      <c r="W184">
        <v>0</v>
      </c>
      <c r="X184">
        <v>0.466243829077712</v>
      </c>
      <c r="Y184">
        <v>0.24886052092499</v>
      </c>
      <c r="Z184">
        <v>0.100795516765079</v>
      </c>
      <c r="AA184">
        <v>1.1483676572164199E-3</v>
      </c>
      <c r="AB184">
        <v>68</v>
      </c>
    </row>
    <row r="185" spans="1:28" x14ac:dyDescent="0.25">
      <c r="A185">
        <v>1317</v>
      </c>
      <c r="B185" s="1">
        <v>45448</v>
      </c>
      <c r="C185" t="s">
        <v>434</v>
      </c>
      <c r="D185">
        <v>4.71</v>
      </c>
      <c r="E185">
        <v>905</v>
      </c>
      <c r="F185" t="s">
        <v>124</v>
      </c>
      <c r="G185" t="s">
        <v>435</v>
      </c>
      <c r="H185">
        <v>15001</v>
      </c>
      <c r="I185">
        <f>VLOOKUP(H185,Sheet1!H:AE,2)</f>
        <v>3</v>
      </c>
      <c r="J185" t="str">
        <f>VLOOKUP(H185,Sheet1!H:T,3,FALSE)</f>
        <v>30"</v>
      </c>
      <c r="K185">
        <f>VLOOKUP($H185,Sheet1!H:$AE,4,FALSE)</f>
        <v>100000</v>
      </c>
      <c r="L185" t="str">
        <f>VLOOKUP($H185,Sheet1!$H:$AE,5,FALSE)</f>
        <v>Cayenne</v>
      </c>
      <c r="M185">
        <f>VLOOKUP($H185,Sheet1!$H:$AE,13,FALSE)</f>
        <v>2305</v>
      </c>
      <c r="N185">
        <v>2271.1329428395502</v>
      </c>
      <c r="O185">
        <v>1094383.358005</v>
      </c>
      <c r="P185">
        <v>15932.502624552701</v>
      </c>
      <c r="Q185">
        <v>16404653.508890901</v>
      </c>
      <c r="R185">
        <v>0.35903716304709898</v>
      </c>
      <c r="S185">
        <v>2.7440539751905401E-3</v>
      </c>
      <c r="T185">
        <v>0.23688822011688501</v>
      </c>
      <c r="U185">
        <v>3.3294538251824601E-3</v>
      </c>
      <c r="V185">
        <v>0.93810363430616595</v>
      </c>
      <c r="W185">
        <v>5.8065205607705402E-2</v>
      </c>
      <c r="X185">
        <v>0.38061765609776799</v>
      </c>
      <c r="Y185">
        <v>0.235747855964445</v>
      </c>
      <c r="Z185">
        <v>8.4192931908469798E-2</v>
      </c>
      <c r="AA185">
        <v>2.9695728572760498E-3</v>
      </c>
      <c r="AB185">
        <v>64</v>
      </c>
    </row>
    <row r="186" spans="1:28" x14ac:dyDescent="0.25">
      <c r="A186">
        <v>1318</v>
      </c>
      <c r="B186" s="1">
        <v>45448</v>
      </c>
      <c r="C186" t="s">
        <v>436</v>
      </c>
      <c r="D186">
        <v>4.71</v>
      </c>
      <c r="E186">
        <v>905</v>
      </c>
      <c r="F186" t="s">
        <v>24</v>
      </c>
      <c r="G186" t="s">
        <v>437</v>
      </c>
      <c r="H186">
        <v>15002</v>
      </c>
      <c r="I186">
        <f>VLOOKUP(H186,Sheet1!H:AE,2)</f>
        <v>3</v>
      </c>
      <c r="J186" t="str">
        <f>VLOOKUP(H186,Sheet1!H:T,3,FALSE)</f>
        <v>30"</v>
      </c>
      <c r="K186">
        <f>VLOOKUP($H186,Sheet1!H:$AE,4,FALSE)</f>
        <v>150000</v>
      </c>
      <c r="L186" t="str">
        <f>VLOOKUP($H186,Sheet1!$H:$AE,5,FALSE)</f>
        <v>Ronnies red</v>
      </c>
      <c r="M186">
        <f>VLOOKUP($H186,Sheet1!$H:$AE,13,FALSE)</f>
        <v>831</v>
      </c>
      <c r="N186">
        <v>2574.9505010777398</v>
      </c>
      <c r="O186">
        <v>2750563.8546517901</v>
      </c>
      <c r="P186">
        <v>15761.0147952431</v>
      </c>
      <c r="Q186">
        <v>20944383.359972801</v>
      </c>
      <c r="R186">
        <v>0.36917002491110301</v>
      </c>
      <c r="S186">
        <v>3.1179021730184699E-3</v>
      </c>
      <c r="T186">
        <v>0.24699935090696501</v>
      </c>
      <c r="U186">
        <v>5.3203926083084697E-3</v>
      </c>
      <c r="V186">
        <v>1</v>
      </c>
      <c r="W186">
        <v>0</v>
      </c>
      <c r="X186">
        <v>0.60124235786445202</v>
      </c>
      <c r="Y186">
        <v>0.23974998497394601</v>
      </c>
      <c r="Z186">
        <v>8.4192931908469798E-2</v>
      </c>
      <c r="AA186">
        <v>2.9695728572760498E-3</v>
      </c>
      <c r="AB186">
        <v>82</v>
      </c>
    </row>
    <row r="187" spans="1:28" x14ac:dyDescent="0.25">
      <c r="A187">
        <v>1319</v>
      </c>
      <c r="B187" s="1">
        <v>45448</v>
      </c>
      <c r="C187" t="s">
        <v>438</v>
      </c>
      <c r="D187">
        <v>4.71</v>
      </c>
      <c r="E187">
        <v>905</v>
      </c>
      <c r="F187" t="s">
        <v>28</v>
      </c>
      <c r="G187" t="s">
        <v>439</v>
      </c>
      <c r="H187">
        <v>14002</v>
      </c>
      <c r="I187">
        <f>VLOOKUP(H187,Sheet1!H:AE,2)</f>
        <v>3</v>
      </c>
      <c r="J187" t="str">
        <f>VLOOKUP(H187,Sheet1!H:T,3,FALSE)</f>
        <v>30"</v>
      </c>
      <c r="K187">
        <f>VLOOKUP($H187,Sheet1!H:$AE,4,FALSE)</f>
        <v>150000</v>
      </c>
      <c r="L187" t="str">
        <f>VLOOKUP($H187,Sheet1!$H:$AE,5,FALSE)</f>
        <v>Red Dawn</v>
      </c>
      <c r="M187">
        <f>VLOOKUP($H187,Sheet1!$H:$AE,13,FALSE)</f>
        <v>759</v>
      </c>
      <c r="N187">
        <v>2786.90824795656</v>
      </c>
      <c r="O187">
        <v>2396830.7242473401</v>
      </c>
      <c r="P187">
        <v>15882.065612078501</v>
      </c>
      <c r="Q187">
        <v>20634716.782073598</v>
      </c>
      <c r="R187">
        <v>0.38235271782234098</v>
      </c>
      <c r="S187">
        <v>3.6971056496656902E-3</v>
      </c>
      <c r="T187">
        <v>0.26535344350548901</v>
      </c>
      <c r="U187">
        <v>6.1773663958230697E-3</v>
      </c>
      <c r="V187">
        <v>0.99993421052631604</v>
      </c>
      <c r="W187" s="2">
        <v>6.5785145429367504E-5</v>
      </c>
      <c r="X187">
        <v>0.54061122807935202</v>
      </c>
      <c r="Y187">
        <v>0.24835072815374601</v>
      </c>
      <c r="Z187">
        <v>0.100795516765079</v>
      </c>
      <c r="AA187">
        <v>1.1483676572164199E-3</v>
      </c>
      <c r="AB187">
        <v>89</v>
      </c>
    </row>
    <row r="188" spans="1:28" x14ac:dyDescent="0.25">
      <c r="A188">
        <v>1320</v>
      </c>
      <c r="B188" s="1">
        <v>45448</v>
      </c>
      <c r="C188" t="s">
        <v>440</v>
      </c>
      <c r="D188">
        <v>4.71</v>
      </c>
      <c r="E188">
        <v>905</v>
      </c>
      <c r="F188" t="s">
        <v>32</v>
      </c>
      <c r="G188" t="s">
        <v>441</v>
      </c>
      <c r="H188">
        <v>13002</v>
      </c>
      <c r="I188">
        <f>VLOOKUP(H188,Sheet1!H:AE,2)</f>
        <v>3</v>
      </c>
      <c r="J188" t="str">
        <f>VLOOKUP(H188,Sheet1!H:T,3,FALSE)</f>
        <v>30"</v>
      </c>
      <c r="K188">
        <f>VLOOKUP($H188,Sheet1!H:$AE,4,FALSE)</f>
        <v>150000</v>
      </c>
      <c r="L188" t="str">
        <f>VLOOKUP($H188,Sheet1!$H:$AE,5,FALSE)</f>
        <v>Redhawk</v>
      </c>
      <c r="M188">
        <f>VLOOKUP($H188,Sheet1!$H:$AE,13,FALSE)</f>
        <v>965</v>
      </c>
      <c r="N188">
        <v>2712.3025830516499</v>
      </c>
      <c r="O188">
        <v>1356621.57828733</v>
      </c>
      <c r="P188">
        <v>16871.883314998999</v>
      </c>
      <c r="Q188">
        <v>15845191.782496201</v>
      </c>
      <c r="R188">
        <v>0.37112667531477</v>
      </c>
      <c r="S188">
        <v>2.3681039834008099E-3</v>
      </c>
      <c r="T188">
        <v>0.238234874408147</v>
      </c>
      <c r="U188">
        <v>2.5026983142845899E-3</v>
      </c>
      <c r="V188">
        <v>0.98197320982131098</v>
      </c>
      <c r="W188">
        <v>1.7701825014526398E-2</v>
      </c>
      <c r="X188">
        <v>0.59678684922907899</v>
      </c>
      <c r="Y188">
        <v>0.240632305816085</v>
      </c>
      <c r="Z188">
        <v>0.101541433721954</v>
      </c>
      <c r="AA188">
        <v>8.1137284474565199E-4</v>
      </c>
      <c r="AB188">
        <v>63</v>
      </c>
    </row>
    <row r="189" spans="1:28" x14ac:dyDescent="0.25">
      <c r="A189">
        <v>1321</v>
      </c>
      <c r="B189" s="1">
        <v>45448</v>
      </c>
      <c r="C189" t="s">
        <v>442</v>
      </c>
      <c r="D189">
        <v>4.71</v>
      </c>
      <c r="E189">
        <v>905</v>
      </c>
      <c r="F189" t="s">
        <v>36</v>
      </c>
      <c r="G189" t="s">
        <v>443</v>
      </c>
      <c r="H189">
        <v>12002</v>
      </c>
      <c r="I189">
        <f>VLOOKUP(H189,Sheet1!H:AE,2)</f>
        <v>3</v>
      </c>
      <c r="J189" t="str">
        <f>VLOOKUP(H189,Sheet1!H:T,3,FALSE)</f>
        <v>30"</v>
      </c>
      <c r="K189">
        <f>VLOOKUP($H189,Sheet1!H:$AE,4,FALSE)</f>
        <v>150000</v>
      </c>
      <c r="L189" t="str">
        <f>VLOOKUP($H189,Sheet1!$H:$AE,5,FALSE)</f>
        <v>Red Rover</v>
      </c>
      <c r="M189">
        <f>VLOOKUP($H189,Sheet1!$H:$AE,13,FALSE)</f>
        <v>1692</v>
      </c>
      <c r="N189">
        <v>2895.2303051934</v>
      </c>
      <c r="O189">
        <v>2764178.0710733398</v>
      </c>
      <c r="P189">
        <v>16186.950005001299</v>
      </c>
      <c r="Q189">
        <v>22405758.8949861</v>
      </c>
      <c r="R189">
        <v>0.37976259833072301</v>
      </c>
      <c r="S189">
        <v>4.0982216121933602E-3</v>
      </c>
      <c r="T189">
        <v>0.24888714557243899</v>
      </c>
      <c r="U189">
        <v>8.0084855431857092E-3</v>
      </c>
      <c r="V189">
        <v>0.99990789594873797</v>
      </c>
      <c r="W189" s="2">
        <v>9.2095568106247204E-5</v>
      </c>
      <c r="X189">
        <v>0.87529424072814699</v>
      </c>
      <c r="Y189">
        <v>0.10915423287652599</v>
      </c>
      <c r="Z189">
        <v>0.116475845461096</v>
      </c>
      <c r="AA189">
        <v>8.8454664812347703E-4</v>
      </c>
      <c r="AB189">
        <v>87</v>
      </c>
    </row>
    <row r="190" spans="1:28" x14ac:dyDescent="0.25">
      <c r="A190">
        <v>1322</v>
      </c>
      <c r="B190" s="1">
        <v>45448</v>
      </c>
      <c r="C190" t="s">
        <v>444</v>
      </c>
      <c r="D190">
        <v>4.71</v>
      </c>
      <c r="E190">
        <v>905</v>
      </c>
      <c r="F190" t="s">
        <v>40</v>
      </c>
      <c r="G190" t="s">
        <v>445</v>
      </c>
      <c r="H190">
        <v>11002</v>
      </c>
      <c r="I190">
        <f>VLOOKUP(H190,Sheet1!H:AE,2)</f>
        <v>3</v>
      </c>
      <c r="J190" t="str">
        <f>VLOOKUP(H190,Sheet1!H:T,3,FALSE)</f>
        <v>30"</v>
      </c>
      <c r="K190">
        <f>VLOOKUP($H190,Sheet1!H:$AE,4,FALSE)</f>
        <v>150000</v>
      </c>
      <c r="L190" t="str">
        <f>VLOOKUP($H190,Sheet1!$H:$AE,5,FALSE)</f>
        <v>CLERK</v>
      </c>
      <c r="M190">
        <f>VLOOKUP($H190,Sheet1!$H:$AE,13,FALSE)</f>
        <v>1190</v>
      </c>
      <c r="N190">
        <v>2734.1196901199501</v>
      </c>
      <c r="O190">
        <v>2345840.3895192398</v>
      </c>
      <c r="P190">
        <v>16278.8834330177</v>
      </c>
      <c r="Q190">
        <v>20077056.836051099</v>
      </c>
      <c r="R190">
        <v>0.36426647108532101</v>
      </c>
      <c r="S190">
        <v>2.97957599968074E-3</v>
      </c>
      <c r="T190">
        <v>0.22945828985227101</v>
      </c>
      <c r="U190">
        <v>5.3796912325308997E-3</v>
      </c>
      <c r="V190">
        <v>0.99936842105263202</v>
      </c>
      <c r="W190">
        <v>6.3118005540430599E-4</v>
      </c>
      <c r="X190">
        <v>0.712887342823327</v>
      </c>
      <c r="Y190">
        <v>0.204678979265765</v>
      </c>
      <c r="Z190">
        <v>7.7678776515304901E-2</v>
      </c>
      <c r="AA190">
        <v>1.12397102936487E-3</v>
      </c>
      <c r="AB190">
        <v>85</v>
      </c>
    </row>
    <row r="191" spans="1:28" x14ac:dyDescent="0.25">
      <c r="A191">
        <v>1323</v>
      </c>
      <c r="B191" s="1">
        <v>45448</v>
      </c>
      <c r="C191" t="s">
        <v>446</v>
      </c>
      <c r="D191">
        <v>4.71</v>
      </c>
      <c r="E191">
        <v>905</v>
      </c>
      <c r="F191" t="s">
        <v>44</v>
      </c>
      <c r="G191" t="s">
        <v>447</v>
      </c>
      <c r="H191">
        <v>10002</v>
      </c>
      <c r="I191">
        <f>VLOOKUP(H191,Sheet1!H:AE,2)</f>
        <v>3</v>
      </c>
      <c r="J191" t="str">
        <f>VLOOKUP(H191,Sheet1!H:T,3,FALSE)</f>
        <v>30"</v>
      </c>
      <c r="K191">
        <f>VLOOKUP($H191,Sheet1!H:$AE,4,FALSE)</f>
        <v>150000</v>
      </c>
      <c r="L191" t="str">
        <f>VLOOKUP($H191,Sheet1!$H:$AE,5,FALSE)</f>
        <v>Windbreaker</v>
      </c>
      <c r="M191">
        <f>VLOOKUP($H191,Sheet1!$H:$AE,13,FALSE)</f>
        <v>1849</v>
      </c>
      <c r="N191">
        <v>2516.8138454217201</v>
      </c>
      <c r="O191">
        <v>2286369.3027201402</v>
      </c>
      <c r="P191">
        <v>15618.3566082711</v>
      </c>
      <c r="Q191">
        <v>17400850.772950798</v>
      </c>
      <c r="R191">
        <v>0.35947180321994898</v>
      </c>
      <c r="S191">
        <v>3.5813070604053501E-3</v>
      </c>
      <c r="T191">
        <v>0.227837361865107</v>
      </c>
      <c r="U191">
        <v>7.5564206826441004E-3</v>
      </c>
      <c r="V191">
        <v>0.99993421139195504</v>
      </c>
      <c r="W191" s="2">
        <v>6.5784279903615604E-5</v>
      </c>
      <c r="X191">
        <v>0.788047209598849</v>
      </c>
      <c r="Y191">
        <v>0.16702880504216699</v>
      </c>
      <c r="Z191">
        <v>0.10209411788841601</v>
      </c>
      <c r="AA191">
        <v>8.5563714117808899E-4</v>
      </c>
      <c r="AB191">
        <v>77</v>
      </c>
    </row>
    <row r="192" spans="1:28" x14ac:dyDescent="0.25">
      <c r="A192">
        <v>1324</v>
      </c>
      <c r="B192" s="1">
        <v>45448</v>
      </c>
      <c r="C192" t="s">
        <v>448</v>
      </c>
      <c r="D192">
        <v>4.71</v>
      </c>
      <c r="E192">
        <v>905</v>
      </c>
      <c r="F192" t="s">
        <v>48</v>
      </c>
      <c r="G192" t="s">
        <v>449</v>
      </c>
      <c r="H192">
        <v>9002</v>
      </c>
      <c r="I192">
        <f>VLOOKUP(H192,Sheet1!H:AE,2)</f>
        <v>2</v>
      </c>
      <c r="J192" t="str">
        <f>VLOOKUP(H192,Sheet1!H:T,3,FALSE)</f>
        <v>30"</v>
      </c>
      <c r="K192">
        <f>VLOOKUP($H192,Sheet1!H:$AE,4,FALSE)</f>
        <v>150000</v>
      </c>
      <c r="L192" t="str">
        <f>VLOOKUP($H192,Sheet1!$H:$AE,5,FALSE)</f>
        <v>Apex</v>
      </c>
      <c r="M192">
        <f>VLOOKUP($H192,Sheet1!$H:$AE,13,FALSE)</f>
        <v>2839</v>
      </c>
      <c r="N192">
        <v>2927.90801002127</v>
      </c>
      <c r="O192">
        <v>4184547.12736391</v>
      </c>
      <c r="P192">
        <v>16544.0248907766</v>
      </c>
      <c r="Q192">
        <v>19881292.815750901</v>
      </c>
      <c r="R192">
        <v>0.36988002409370502</v>
      </c>
      <c r="S192">
        <v>3.2891078873095599E-3</v>
      </c>
      <c r="T192">
        <v>0.24185143102789899</v>
      </c>
      <c r="U192">
        <v>6.2040450361086196E-3</v>
      </c>
      <c r="V192">
        <v>0.96371148127680895</v>
      </c>
      <c r="W192">
        <v>3.4971662132051898E-2</v>
      </c>
      <c r="X192">
        <v>0.64710921050910797</v>
      </c>
      <c r="Y192">
        <v>0.22835888018299699</v>
      </c>
      <c r="Z192">
        <v>0.101769034626651</v>
      </c>
      <c r="AA192">
        <v>1.07860569148198E-3</v>
      </c>
      <c r="AB192">
        <v>78</v>
      </c>
    </row>
    <row r="193" spans="1:28" x14ac:dyDescent="0.25">
      <c r="A193">
        <v>1325</v>
      </c>
      <c r="B193" s="1">
        <v>45448</v>
      </c>
      <c r="C193" t="s">
        <v>450</v>
      </c>
      <c r="D193">
        <v>4.71</v>
      </c>
      <c r="E193">
        <v>905</v>
      </c>
      <c r="F193" t="s">
        <v>52</v>
      </c>
      <c r="G193" t="s">
        <v>451</v>
      </c>
      <c r="H193">
        <v>8002</v>
      </c>
      <c r="I193">
        <f>VLOOKUP(H193,Sheet1!H:AE,2)</f>
        <v>2</v>
      </c>
      <c r="J193" t="str">
        <f>VLOOKUP(H193,Sheet1!H:T,3,FALSE)</f>
        <v>30"</v>
      </c>
      <c r="K193">
        <f>VLOOKUP($H193,Sheet1!H:$AE,4,FALSE)</f>
        <v>150000</v>
      </c>
      <c r="L193" t="str">
        <f>VLOOKUP($H193,Sheet1!$H:$AE,5,FALSE)</f>
        <v>black bear</v>
      </c>
      <c r="M193">
        <f>VLOOKUP($H193,Sheet1!$H:$AE,13,FALSE)</f>
        <v>2450</v>
      </c>
      <c r="N193">
        <v>2636.7104147129999</v>
      </c>
      <c r="O193">
        <v>1591920.7235220601</v>
      </c>
      <c r="P193">
        <v>16520.6292402812</v>
      </c>
      <c r="Q193">
        <v>19110948.552666899</v>
      </c>
      <c r="R193">
        <v>0.37328052614399099</v>
      </c>
      <c r="S193">
        <v>3.6918183326716501E-3</v>
      </c>
      <c r="T193">
        <v>0.23920183638065901</v>
      </c>
      <c r="U193">
        <v>5.3310829044282302E-3</v>
      </c>
      <c r="V193">
        <v>0.99953947974368795</v>
      </c>
      <c r="W193">
        <v>4.6030817740596198E-4</v>
      </c>
      <c r="X193">
        <v>0.60816147719991098</v>
      </c>
      <c r="Y193">
        <v>0.23830109485048401</v>
      </c>
      <c r="Z193">
        <v>9.6373351045459299E-2</v>
      </c>
      <c r="AA193">
        <v>9.1612187112057898E-4</v>
      </c>
      <c r="AB193">
        <v>91</v>
      </c>
    </row>
    <row r="194" spans="1:28" x14ac:dyDescent="0.25">
      <c r="A194">
        <v>1326</v>
      </c>
      <c r="B194" s="1">
        <v>45448</v>
      </c>
      <c r="C194" t="s">
        <v>452</v>
      </c>
      <c r="D194">
        <v>4.71</v>
      </c>
      <c r="E194">
        <v>905</v>
      </c>
      <c r="F194" t="s">
        <v>56</v>
      </c>
      <c r="G194" t="s">
        <v>453</v>
      </c>
      <c r="H194">
        <v>7002</v>
      </c>
      <c r="I194">
        <f>VLOOKUP(H194,Sheet1!H:AE,2)</f>
        <v>2</v>
      </c>
      <c r="J194" t="str">
        <f>VLOOKUP(H194,Sheet1!H:T,3,FALSE)</f>
        <v>30"</v>
      </c>
      <c r="K194">
        <f>VLOOKUP($H194,Sheet1!H:$AE,4,FALSE)</f>
        <v>150000</v>
      </c>
      <c r="L194" t="str">
        <f>VLOOKUP($H194,Sheet1!$H:$AE,5,FALSE)</f>
        <v>T9905</v>
      </c>
      <c r="M194">
        <f>VLOOKUP($H194,Sheet1!$H:$AE,13,FALSE)</f>
        <v>2569</v>
      </c>
      <c r="N194">
        <v>2791.89886138579</v>
      </c>
      <c r="O194">
        <v>1856144.7268539499</v>
      </c>
      <c r="P194">
        <v>16750.387669642099</v>
      </c>
      <c r="Q194">
        <v>16624756.8907384</v>
      </c>
      <c r="R194">
        <v>0.35188574630966302</v>
      </c>
      <c r="S194">
        <v>3.0045618251979202E-3</v>
      </c>
      <c r="T194">
        <v>0.224993419203731</v>
      </c>
      <c r="U194">
        <v>3.8035963161394499E-3</v>
      </c>
      <c r="V194">
        <v>0.92990789473684199</v>
      </c>
      <c r="W194">
        <v>6.5179202043093201E-2</v>
      </c>
      <c r="X194">
        <v>0.42265944786639897</v>
      </c>
      <c r="Y194">
        <v>0.244018438996293</v>
      </c>
      <c r="Z194">
        <v>9.3056265944980301E-2</v>
      </c>
      <c r="AA194">
        <v>9.3336123640364304E-4</v>
      </c>
      <c r="AB194">
        <v>80</v>
      </c>
    </row>
    <row r="195" spans="1:28" x14ac:dyDescent="0.25">
      <c r="A195">
        <v>1327</v>
      </c>
      <c r="B195" s="1">
        <v>45448</v>
      </c>
      <c r="C195" t="s">
        <v>454</v>
      </c>
      <c r="D195">
        <v>4.71</v>
      </c>
      <c r="E195">
        <v>905</v>
      </c>
      <c r="F195" t="s">
        <v>60</v>
      </c>
      <c r="G195" s="2" t="s">
        <v>455</v>
      </c>
      <c r="H195">
        <v>6002</v>
      </c>
      <c r="I195">
        <f>VLOOKUP(H195,Sheet1!H:AE,2)</f>
        <v>2</v>
      </c>
      <c r="J195" t="str">
        <f>VLOOKUP(H195,Sheet1!H:T,3,FALSE)</f>
        <v>30"</v>
      </c>
      <c r="K195">
        <f>VLOOKUP($H195,Sheet1!H:$AE,4,FALSE)</f>
        <v>150000</v>
      </c>
      <c r="L195" t="str">
        <f>VLOOKUP($H195,Sheet1!$H:$AE,5,FALSE)</f>
        <v>Eclipse</v>
      </c>
      <c r="M195">
        <f>VLOOKUP($H195,Sheet1!$H:$AE,13,FALSE)</f>
        <v>3041</v>
      </c>
      <c r="N195">
        <v>2753.3982042633002</v>
      </c>
      <c r="O195">
        <v>1426931.5805196699</v>
      </c>
      <c r="P195">
        <v>16283.274793255199</v>
      </c>
      <c r="Q195">
        <v>19469736.3530767</v>
      </c>
      <c r="R195">
        <v>0.35804074474561498</v>
      </c>
      <c r="S195">
        <v>3.7604567931353301E-3</v>
      </c>
      <c r="T195">
        <v>0.23166374059309899</v>
      </c>
      <c r="U195">
        <v>5.8310824330235099E-3</v>
      </c>
      <c r="V195">
        <v>1</v>
      </c>
      <c r="W195">
        <v>0</v>
      </c>
      <c r="X195">
        <v>0.61531067942120699</v>
      </c>
      <c r="Y195">
        <v>0.236703447212014</v>
      </c>
      <c r="Z195">
        <v>8.5872909838574096E-2</v>
      </c>
      <c r="AA195">
        <v>8.7433742098954204E-4</v>
      </c>
      <c r="AB195">
        <v>96</v>
      </c>
    </row>
    <row r="196" spans="1:28" x14ac:dyDescent="0.25">
      <c r="A196">
        <v>1328</v>
      </c>
      <c r="B196" s="1">
        <v>45448</v>
      </c>
      <c r="C196" t="s">
        <v>456</v>
      </c>
      <c r="D196">
        <v>4.71</v>
      </c>
      <c r="E196">
        <v>905</v>
      </c>
      <c r="F196" t="s">
        <v>64</v>
      </c>
      <c r="G196" t="s">
        <v>457</v>
      </c>
      <c r="H196">
        <v>5002</v>
      </c>
      <c r="I196">
        <f>VLOOKUP(H196,Sheet1!H:AE,2)</f>
        <v>1</v>
      </c>
      <c r="J196" t="str">
        <f>VLOOKUP(H196,Sheet1!H:T,3,FALSE)</f>
        <v>30"</v>
      </c>
      <c r="K196">
        <f>VLOOKUP($H196,Sheet1!H:$AE,4,FALSE)</f>
        <v>150000</v>
      </c>
      <c r="L196" t="str">
        <f>VLOOKUP($H196,Sheet1!$H:$AE,5,FALSE)</f>
        <v>Nautica</v>
      </c>
      <c r="M196">
        <f>VLOOKUP($H196,Sheet1!$H:$AE,13,FALSE)</f>
        <v>2219</v>
      </c>
      <c r="N196">
        <v>3052.2344691482399</v>
      </c>
      <c r="O196">
        <v>4604092.0697609996</v>
      </c>
      <c r="P196">
        <v>16355.105956400401</v>
      </c>
      <c r="Q196">
        <v>19227013.179416001</v>
      </c>
      <c r="R196">
        <v>0.35374826326311998</v>
      </c>
      <c r="S196">
        <v>3.23515882082744E-3</v>
      </c>
      <c r="T196">
        <v>0.23933741340033399</v>
      </c>
      <c r="U196">
        <v>6.9535334144790496E-3</v>
      </c>
      <c r="V196">
        <v>0.999</v>
      </c>
      <c r="W196">
        <v>9.9899999999956404E-4</v>
      </c>
      <c r="X196">
        <v>0.61994965181286099</v>
      </c>
      <c r="Y196">
        <v>0.23561208103013501</v>
      </c>
      <c r="Z196">
        <v>9.0307155243878806E-2</v>
      </c>
      <c r="AA196">
        <v>9.5910824056944801E-4</v>
      </c>
      <c r="AB196">
        <v>88</v>
      </c>
    </row>
    <row r="197" spans="1:28" x14ac:dyDescent="0.25">
      <c r="A197">
        <v>1329</v>
      </c>
      <c r="B197" s="1">
        <v>45448</v>
      </c>
      <c r="C197" t="s">
        <v>458</v>
      </c>
      <c r="D197">
        <v>4.71</v>
      </c>
      <c r="E197">
        <v>905</v>
      </c>
      <c r="F197" t="s">
        <v>68</v>
      </c>
      <c r="G197" t="s">
        <v>459</v>
      </c>
      <c r="H197">
        <v>4002</v>
      </c>
      <c r="I197">
        <f>VLOOKUP(H197,Sheet1!H:AE,2)</f>
        <v>1</v>
      </c>
      <c r="J197" t="str">
        <f>VLOOKUP(H197,Sheet1!H:T,3,FALSE)</f>
        <v>30"</v>
      </c>
      <c r="K197">
        <f>VLOOKUP($H197,Sheet1!H:$AE,4,FALSE)</f>
        <v>150000</v>
      </c>
      <c r="L197" t="str">
        <f>VLOOKUP($H197,Sheet1!$H:$AE,5,FALSE)</f>
        <v>Merlot</v>
      </c>
      <c r="M197">
        <f>VLOOKUP($H197,Sheet1!$H:$AE,13,FALSE)</f>
        <v>1796</v>
      </c>
      <c r="N197">
        <v>2732.2321613526301</v>
      </c>
      <c r="O197">
        <v>1325496.5619228401</v>
      </c>
      <c r="P197">
        <v>16511.592463145898</v>
      </c>
      <c r="Q197">
        <v>18065598.052874301</v>
      </c>
      <c r="R197">
        <v>0.35255341624478598</v>
      </c>
      <c r="S197">
        <v>3.1781044912875E-3</v>
      </c>
      <c r="T197">
        <v>0.234430674493146</v>
      </c>
      <c r="U197">
        <v>4.3667750943472399E-3</v>
      </c>
      <c r="V197">
        <v>0.98051290148554604</v>
      </c>
      <c r="W197">
        <v>1.9107351505948701E-2</v>
      </c>
      <c r="X197">
        <v>0.57960846367107799</v>
      </c>
      <c r="Y197">
        <v>0.24366249251178701</v>
      </c>
      <c r="Z197">
        <v>9.4957034091235501E-2</v>
      </c>
      <c r="AA197">
        <v>8.4252624967331795E-4</v>
      </c>
      <c r="AB197">
        <v>76</v>
      </c>
    </row>
    <row r="198" spans="1:28" x14ac:dyDescent="0.25">
      <c r="A198">
        <v>1330</v>
      </c>
      <c r="B198" s="1">
        <v>45448</v>
      </c>
      <c r="C198" t="s">
        <v>460</v>
      </c>
      <c r="D198">
        <v>4.71</v>
      </c>
      <c r="E198">
        <v>905</v>
      </c>
      <c r="F198" t="s">
        <v>72</v>
      </c>
      <c r="G198" t="s">
        <v>461</v>
      </c>
      <c r="H198">
        <v>3002</v>
      </c>
      <c r="I198">
        <f>VLOOKUP(H198,Sheet1!H:AE,2)</f>
        <v>1</v>
      </c>
      <c r="J198" t="str">
        <f>VLOOKUP(H198,Sheet1!H:T,3,FALSE)</f>
        <v>30"</v>
      </c>
      <c r="K198">
        <f>VLOOKUP($H198,Sheet1!H:$AE,4,FALSE)</f>
        <v>150000</v>
      </c>
      <c r="L198" t="str">
        <f>VLOOKUP($H198,Sheet1!$H:$AE,5,FALSE)</f>
        <v>Zorro</v>
      </c>
      <c r="M198">
        <f>VLOOKUP($H198,Sheet1!$H:$AE,13,FALSE)</f>
        <v>2678</v>
      </c>
      <c r="N198">
        <v>2971.6749478634501</v>
      </c>
      <c r="O198">
        <v>3042534.2786119599</v>
      </c>
      <c r="P198">
        <v>15924.340167263201</v>
      </c>
      <c r="Q198">
        <v>20898014.0008795</v>
      </c>
      <c r="R198">
        <v>0.36491563952165101</v>
      </c>
      <c r="S198">
        <v>4.1691269137601704E-3</v>
      </c>
      <c r="T198">
        <v>0.249291658034971</v>
      </c>
      <c r="U198">
        <v>8.0620897982781794E-3</v>
      </c>
      <c r="V198">
        <v>0.999486828600753</v>
      </c>
      <c r="W198">
        <v>5.1290805436401705E-4</v>
      </c>
      <c r="X198">
        <v>0.71301067113040695</v>
      </c>
      <c r="Y198">
        <v>0.204626453984118</v>
      </c>
      <c r="Z198">
        <v>0.10455132394219099</v>
      </c>
      <c r="AA198">
        <v>9.9505154427514996E-4</v>
      </c>
      <c r="AB198">
        <v>76</v>
      </c>
    </row>
    <row r="199" spans="1:28" x14ac:dyDescent="0.25">
      <c r="A199">
        <v>1332</v>
      </c>
      <c r="B199" s="1">
        <v>45448</v>
      </c>
      <c r="C199" t="s">
        <v>462</v>
      </c>
      <c r="D199">
        <v>4.71</v>
      </c>
      <c r="E199">
        <v>905</v>
      </c>
      <c r="F199" t="s">
        <v>79</v>
      </c>
      <c r="G199" t="s">
        <v>463</v>
      </c>
      <c r="H199">
        <v>1002</v>
      </c>
      <c r="I199">
        <f>VLOOKUP(H199,Sheet1!H:AE,2)</f>
        <v>1</v>
      </c>
      <c r="J199" t="str">
        <f>VLOOKUP(H199,Sheet1!H:T,3,FALSE)</f>
        <v>30"</v>
      </c>
      <c r="K199">
        <f>VLOOKUP($H199,Sheet1!H:$AE,4,FALSE)</f>
        <v>150000</v>
      </c>
      <c r="L199" t="str">
        <f>VLOOKUP($H199,Sheet1!$H:$AE,5,FALSE)</f>
        <v>ETNA</v>
      </c>
      <c r="M199">
        <f>VLOOKUP($H199,Sheet1!$H:$AE,13,FALSE)</f>
        <v>2550</v>
      </c>
      <c r="N199">
        <v>2496.47735352574</v>
      </c>
      <c r="O199">
        <v>2066755.8328507999</v>
      </c>
      <c r="P199">
        <v>15636.3245522489</v>
      </c>
      <c r="Q199">
        <v>17793178.187415302</v>
      </c>
      <c r="R199">
        <v>0.363267057160306</v>
      </c>
      <c r="S199">
        <v>3.3349622499310801E-3</v>
      </c>
      <c r="T199">
        <v>0.25561849308731499</v>
      </c>
      <c r="U199">
        <v>7.8549335301384294E-3</v>
      </c>
      <c r="V199">
        <v>0.94638157894736796</v>
      </c>
      <c r="W199">
        <v>5.0743485976484301E-2</v>
      </c>
      <c r="X199">
        <v>0.51927578495861004</v>
      </c>
      <c r="Y199">
        <v>0.24962844411384</v>
      </c>
      <c r="Z199">
        <v>0</v>
      </c>
      <c r="AA199">
        <v>0</v>
      </c>
      <c r="AB199">
        <v>60</v>
      </c>
    </row>
    <row r="200" spans="1:28" x14ac:dyDescent="0.25">
      <c r="A200">
        <v>1334</v>
      </c>
      <c r="B200" s="1">
        <v>45448</v>
      </c>
      <c r="C200" t="s">
        <v>464</v>
      </c>
      <c r="D200">
        <v>4.71</v>
      </c>
      <c r="E200">
        <v>905</v>
      </c>
      <c r="F200" t="s">
        <v>85</v>
      </c>
      <c r="G200" t="s">
        <v>465</v>
      </c>
      <c r="H200">
        <v>2003</v>
      </c>
      <c r="I200">
        <f>VLOOKUP(H200,Sheet1!H:AE,2)</f>
        <v>1</v>
      </c>
      <c r="J200" t="str">
        <f>VLOOKUP(H200,Sheet1!H:T,3,FALSE)</f>
        <v>30"</v>
      </c>
      <c r="K200">
        <f>VLOOKUP($H200,Sheet1!H:$AE,4,FALSE)</f>
        <v>75000</v>
      </c>
      <c r="L200" t="str">
        <f>VLOOKUP($H200,Sheet1!$H:$AE,5,FALSE)</f>
        <v>T9905</v>
      </c>
      <c r="M200">
        <f>VLOOKUP($H200,Sheet1!$H:$AE,13,FALSE)</f>
        <v>2075</v>
      </c>
      <c r="N200">
        <v>2564.0912608993799</v>
      </c>
      <c r="O200">
        <v>1228275.8155528801</v>
      </c>
      <c r="P200">
        <v>16515.802562227</v>
      </c>
      <c r="Q200">
        <v>14974608.7984345</v>
      </c>
      <c r="R200">
        <v>0.36260635414821102</v>
      </c>
      <c r="S200">
        <v>2.0543599875626102E-3</v>
      </c>
      <c r="T200">
        <v>0.22814892395309899</v>
      </c>
      <c r="U200">
        <v>2.0110848168324101E-3</v>
      </c>
      <c r="V200">
        <v>0.97796110628667698</v>
      </c>
      <c r="W200">
        <v>2.1553180877176299E-2</v>
      </c>
      <c r="X200">
        <v>0.45771733089220901</v>
      </c>
      <c r="Y200">
        <v>0.24821217589292</v>
      </c>
      <c r="Z200">
        <v>0</v>
      </c>
      <c r="AA200">
        <v>0</v>
      </c>
      <c r="AB200">
        <v>53</v>
      </c>
    </row>
    <row r="201" spans="1:28" x14ac:dyDescent="0.25">
      <c r="A201">
        <v>1335</v>
      </c>
      <c r="B201" s="1">
        <v>45448</v>
      </c>
      <c r="C201" t="s">
        <v>466</v>
      </c>
      <c r="D201">
        <v>4.71</v>
      </c>
      <c r="E201">
        <v>905</v>
      </c>
      <c r="F201" t="s">
        <v>88</v>
      </c>
      <c r="G201" t="s">
        <v>467</v>
      </c>
      <c r="H201">
        <v>3003</v>
      </c>
      <c r="I201">
        <f>VLOOKUP(H201,Sheet1!H:AE,2)</f>
        <v>1</v>
      </c>
      <c r="J201" t="str">
        <f>VLOOKUP(H201,Sheet1!H:T,3,FALSE)</f>
        <v>30"</v>
      </c>
      <c r="K201">
        <f>VLOOKUP($H201,Sheet1!H:$AE,4,FALSE)</f>
        <v>75000</v>
      </c>
      <c r="L201" t="str">
        <f>VLOOKUP($H201,Sheet1!$H:$AE,5,FALSE)</f>
        <v>black bear</v>
      </c>
      <c r="M201">
        <f>VLOOKUP($H201,Sheet1!$H:$AE,13,FALSE)</f>
        <v>2307</v>
      </c>
      <c r="N201">
        <v>2660.6275228844202</v>
      </c>
      <c r="O201">
        <v>1268064.25740616</v>
      </c>
      <c r="P201">
        <v>16758.3415357786</v>
      </c>
      <c r="Q201">
        <v>15943531.735920601</v>
      </c>
      <c r="R201">
        <v>0.35543136264549502</v>
      </c>
      <c r="S201">
        <v>2.8933175658750498E-3</v>
      </c>
      <c r="T201">
        <v>0.22921250285233499</v>
      </c>
      <c r="U201">
        <v>3.27882662101079E-3</v>
      </c>
      <c r="V201">
        <v>0.91740898146076999</v>
      </c>
      <c r="W201">
        <v>7.5769742196053994E-2</v>
      </c>
      <c r="X201">
        <v>0.46263445254519803</v>
      </c>
      <c r="Y201">
        <v>0.248603815863042</v>
      </c>
      <c r="Z201">
        <v>0.10455132394219099</v>
      </c>
      <c r="AA201">
        <v>9.9505154427514996E-4</v>
      </c>
      <c r="AB201">
        <v>66</v>
      </c>
    </row>
    <row r="202" spans="1:28" x14ac:dyDescent="0.25">
      <c r="A202">
        <v>1336</v>
      </c>
      <c r="B202" s="1">
        <v>45448</v>
      </c>
      <c r="C202" t="s">
        <v>468</v>
      </c>
      <c r="D202">
        <v>4.71</v>
      </c>
      <c r="E202">
        <v>905</v>
      </c>
      <c r="F202" t="s">
        <v>91</v>
      </c>
      <c r="G202" t="s">
        <v>469</v>
      </c>
      <c r="H202">
        <v>4003</v>
      </c>
      <c r="I202">
        <f>VLOOKUP(H202,Sheet1!H:AE,2)</f>
        <v>1</v>
      </c>
      <c r="J202" t="str">
        <f>VLOOKUP(H202,Sheet1!H:T,3,FALSE)</f>
        <v>30"</v>
      </c>
      <c r="K202">
        <f>VLOOKUP($H202,Sheet1!H:$AE,4,FALSE)</f>
        <v>75000</v>
      </c>
      <c r="L202" t="str">
        <f>VLOOKUP($H202,Sheet1!$H:$AE,5,FALSE)</f>
        <v>Zorro</v>
      </c>
      <c r="M202">
        <f>VLOOKUP($H202,Sheet1!$H:$AE,13,FALSE)</f>
        <v>1703</v>
      </c>
      <c r="N202">
        <v>2688.3139525932402</v>
      </c>
      <c r="O202">
        <v>1262849.0703037099</v>
      </c>
      <c r="P202">
        <v>16974.067712989501</v>
      </c>
      <c r="Q202">
        <v>15830824.3925745</v>
      </c>
      <c r="R202">
        <v>0.34925850697972299</v>
      </c>
      <c r="S202">
        <v>2.4294305036310498E-3</v>
      </c>
      <c r="T202">
        <v>0.225292857297028</v>
      </c>
      <c r="U202">
        <v>2.6163107223631699E-3</v>
      </c>
      <c r="V202">
        <v>0.75641784760325803</v>
      </c>
      <c r="W202">
        <v>0.18424988743005299</v>
      </c>
      <c r="X202">
        <v>0.33999189203326802</v>
      </c>
      <c r="Y202">
        <v>0.22439740538458899</v>
      </c>
      <c r="Z202">
        <v>9.4957034091235501E-2</v>
      </c>
      <c r="AA202">
        <v>8.4252624967331795E-4</v>
      </c>
      <c r="AB202">
        <v>50</v>
      </c>
    </row>
    <row r="203" spans="1:28" x14ac:dyDescent="0.25">
      <c r="A203">
        <v>1337</v>
      </c>
      <c r="B203" s="1">
        <v>45448</v>
      </c>
      <c r="C203" t="s">
        <v>470</v>
      </c>
      <c r="D203">
        <v>4.71</v>
      </c>
      <c r="E203">
        <v>905</v>
      </c>
      <c r="F203" t="s">
        <v>94</v>
      </c>
      <c r="G203" t="s">
        <v>471</v>
      </c>
      <c r="H203">
        <v>5003</v>
      </c>
      <c r="I203">
        <f>VLOOKUP(H203,Sheet1!H:AE,2)</f>
        <v>1</v>
      </c>
      <c r="J203" t="str">
        <f>VLOOKUP(H203,Sheet1!H:T,3,FALSE)</f>
        <v>30"</v>
      </c>
      <c r="K203">
        <f>VLOOKUP($H203,Sheet1!H:$AE,4,FALSE)</f>
        <v>75000</v>
      </c>
      <c r="L203" t="str">
        <f>VLOOKUP($H203,Sheet1!$H:$AE,5,FALSE)</f>
        <v>Ronnies red</v>
      </c>
      <c r="M203">
        <f>VLOOKUP($H203,Sheet1!$H:$AE,13,FALSE)</f>
        <v>867</v>
      </c>
      <c r="N203">
        <v>2729.8496518422598</v>
      </c>
      <c r="O203">
        <v>1995027.3190099499</v>
      </c>
      <c r="P203">
        <v>16872.936272147101</v>
      </c>
      <c r="Q203">
        <v>16446372.2253263</v>
      </c>
      <c r="R203">
        <v>0.35042354753746402</v>
      </c>
      <c r="S203">
        <v>2.6407840847863101E-3</v>
      </c>
      <c r="T203">
        <v>0.223213221192506</v>
      </c>
      <c r="U203">
        <v>3.25742624875449E-3</v>
      </c>
      <c r="V203">
        <v>0.99475000000000002</v>
      </c>
      <c r="W203">
        <v>5.2224375000070201E-3</v>
      </c>
      <c r="X203">
        <v>0.51570591620023998</v>
      </c>
      <c r="Y203">
        <v>0.249753324195956</v>
      </c>
      <c r="Z203">
        <v>9.0307155243878806E-2</v>
      </c>
      <c r="AA203">
        <v>9.5910824056944801E-4</v>
      </c>
      <c r="AB203">
        <v>60</v>
      </c>
    </row>
    <row r="204" spans="1:28" x14ac:dyDescent="0.25">
      <c r="A204">
        <v>1338</v>
      </c>
      <c r="B204" s="1">
        <v>45448</v>
      </c>
      <c r="C204" t="s">
        <v>472</v>
      </c>
      <c r="D204">
        <v>4.71</v>
      </c>
      <c r="E204">
        <v>905</v>
      </c>
      <c r="F204" t="s">
        <v>97</v>
      </c>
      <c r="G204" t="s">
        <v>473</v>
      </c>
      <c r="H204">
        <v>6003</v>
      </c>
      <c r="I204">
        <f>VLOOKUP(H204,Sheet1!H:AE,2)</f>
        <v>2</v>
      </c>
      <c r="J204" t="str">
        <f>VLOOKUP(H204,Sheet1!H:T,3,FALSE)</f>
        <v>30"</v>
      </c>
      <c r="K204">
        <f>VLOOKUP($H204,Sheet1!H:$AE,4,FALSE)</f>
        <v>75000</v>
      </c>
      <c r="L204" t="str">
        <f>VLOOKUP($H204,Sheet1!$H:$AE,5,FALSE)</f>
        <v>ETNA</v>
      </c>
      <c r="M204">
        <f>VLOOKUP($H204,Sheet1!$H:$AE,13,FALSE)</f>
        <v>1023</v>
      </c>
      <c r="N204">
        <v>2700.67858692457</v>
      </c>
      <c r="O204">
        <v>1712050.8613527301</v>
      </c>
      <c r="P204">
        <v>16751.5792698558</v>
      </c>
      <c r="Q204">
        <v>16511423.2399325</v>
      </c>
      <c r="R204">
        <v>0.35238067375667598</v>
      </c>
      <c r="S204">
        <v>2.59454818229952E-3</v>
      </c>
      <c r="T204">
        <v>0.221871931928729</v>
      </c>
      <c r="U204">
        <v>3.3374542194004901E-3</v>
      </c>
      <c r="V204">
        <v>0.98928947368421005</v>
      </c>
      <c r="W204">
        <v>1.0595810941808999E-2</v>
      </c>
      <c r="X204">
        <v>0.58413485114980401</v>
      </c>
      <c r="Y204">
        <v>0.24292132682175599</v>
      </c>
      <c r="Z204">
        <v>8.5872909838574096E-2</v>
      </c>
      <c r="AA204">
        <v>8.7433742098954204E-4</v>
      </c>
      <c r="AB204">
        <v>66</v>
      </c>
    </row>
    <row r="205" spans="1:28" x14ac:dyDescent="0.25">
      <c r="A205">
        <v>1339</v>
      </c>
      <c r="B205" s="1">
        <v>45448</v>
      </c>
      <c r="C205" t="s">
        <v>474</v>
      </c>
      <c r="D205">
        <v>4.71</v>
      </c>
      <c r="E205">
        <v>905</v>
      </c>
      <c r="F205" t="s">
        <v>100</v>
      </c>
      <c r="G205" t="s">
        <v>475</v>
      </c>
      <c r="H205">
        <v>7003</v>
      </c>
      <c r="I205">
        <f>VLOOKUP(H205,Sheet1!H:AE,2)</f>
        <v>2</v>
      </c>
      <c r="J205" t="str">
        <f>VLOOKUP(H205,Sheet1!H:T,3,FALSE)</f>
        <v>30"</v>
      </c>
      <c r="K205">
        <f>VLOOKUP($H205,Sheet1!H:$AE,4,FALSE)</f>
        <v>75000</v>
      </c>
      <c r="L205" t="str">
        <f>VLOOKUP($H205,Sheet1!$H:$AE,5,FALSE)</f>
        <v>Red Dawn</v>
      </c>
      <c r="M205">
        <f>VLOOKUP($H205,Sheet1!$H:$AE,13,FALSE)</f>
        <v>705</v>
      </c>
      <c r="N205">
        <v>2764.4324373499799</v>
      </c>
      <c r="O205">
        <v>2329744.4550268101</v>
      </c>
      <c r="P205">
        <v>16810.5413778086</v>
      </c>
      <c r="Q205">
        <v>17214228.382116899</v>
      </c>
      <c r="R205">
        <v>0.36119748846542599</v>
      </c>
      <c r="S205">
        <v>2.9632964347192699E-3</v>
      </c>
      <c r="T205">
        <v>0.23171099806769299</v>
      </c>
      <c r="U205">
        <v>3.8565638030786998E-3</v>
      </c>
      <c r="V205">
        <v>0.98967132443883099</v>
      </c>
      <c r="W205">
        <v>1.02219940222931E-2</v>
      </c>
      <c r="X205">
        <v>0.33355782811110501</v>
      </c>
      <c r="Y205">
        <v>0.22229700341719</v>
      </c>
      <c r="Z205">
        <v>9.3056265944980301E-2</v>
      </c>
      <c r="AA205">
        <v>9.3336123640364304E-4</v>
      </c>
      <c r="AB205">
        <v>69</v>
      </c>
    </row>
    <row r="206" spans="1:28" x14ac:dyDescent="0.25">
      <c r="A206">
        <v>1340</v>
      </c>
      <c r="B206" s="1">
        <v>45448</v>
      </c>
      <c r="C206" t="s">
        <v>476</v>
      </c>
      <c r="D206">
        <v>4.71</v>
      </c>
      <c r="E206">
        <v>905</v>
      </c>
      <c r="F206" t="s">
        <v>103</v>
      </c>
      <c r="G206" t="s">
        <v>477</v>
      </c>
      <c r="H206">
        <v>8003</v>
      </c>
      <c r="I206">
        <f>VLOOKUP(H206,Sheet1!H:AE,2)</f>
        <v>2</v>
      </c>
      <c r="J206" t="str">
        <f>VLOOKUP(H206,Sheet1!H:T,3,FALSE)</f>
        <v>30"</v>
      </c>
      <c r="K206">
        <f>VLOOKUP($H206,Sheet1!H:$AE,4,FALSE)</f>
        <v>75000</v>
      </c>
      <c r="L206" t="str">
        <f>VLOOKUP($H206,Sheet1!$H:$AE,5,FALSE)</f>
        <v>CLERK</v>
      </c>
      <c r="M206">
        <f>VLOOKUP($H206,Sheet1!$H:$AE,13,FALSE)</f>
        <v>892</v>
      </c>
      <c r="N206">
        <v>2854.4960740129</v>
      </c>
      <c r="O206">
        <v>2223926.7490538401</v>
      </c>
      <c r="P206">
        <v>16878.864251245301</v>
      </c>
      <c r="Q206">
        <v>18821703.6872136</v>
      </c>
      <c r="R206">
        <v>0.36538304999522397</v>
      </c>
      <c r="S206">
        <v>2.7034445582499399E-3</v>
      </c>
      <c r="T206">
        <v>0.22804460042516</v>
      </c>
      <c r="U206">
        <v>3.25824257610423E-3</v>
      </c>
      <c r="V206">
        <v>0.99807892209107996</v>
      </c>
      <c r="W206">
        <v>1.9173873685874501E-3</v>
      </c>
      <c r="X206">
        <v>0.65701544457086003</v>
      </c>
      <c r="Y206">
        <v>0.22534615016637699</v>
      </c>
      <c r="Z206">
        <v>9.6373351045459299E-2</v>
      </c>
      <c r="AA206">
        <v>9.1612187112057898E-4</v>
      </c>
      <c r="AB206">
        <v>69</v>
      </c>
    </row>
    <row r="207" spans="1:28" x14ac:dyDescent="0.25">
      <c r="A207">
        <v>1341</v>
      </c>
      <c r="B207" s="1">
        <v>45448</v>
      </c>
      <c r="C207" t="s">
        <v>478</v>
      </c>
      <c r="D207">
        <v>4.71</v>
      </c>
      <c r="E207">
        <v>905</v>
      </c>
      <c r="F207" t="s">
        <v>106</v>
      </c>
      <c r="G207" t="s">
        <v>479</v>
      </c>
      <c r="H207">
        <v>9003</v>
      </c>
      <c r="I207">
        <f>VLOOKUP(H207,Sheet1!H:AE,2)</f>
        <v>2</v>
      </c>
      <c r="J207" t="str">
        <f>VLOOKUP(H207,Sheet1!H:T,3,FALSE)</f>
        <v>30"</v>
      </c>
      <c r="K207">
        <f>VLOOKUP($H207,Sheet1!H:$AE,4,FALSE)</f>
        <v>75000</v>
      </c>
      <c r="L207" t="str">
        <f>VLOOKUP($H207,Sheet1!$H:$AE,5,FALSE)</f>
        <v>Windbreaker</v>
      </c>
      <c r="M207">
        <f>VLOOKUP($H207,Sheet1!$H:$AE,13,FALSE)</f>
        <v>1912</v>
      </c>
      <c r="N207">
        <v>2737.0009377646202</v>
      </c>
      <c r="O207">
        <v>1766511.5561285501</v>
      </c>
      <c r="P207">
        <v>16913.135540857798</v>
      </c>
      <c r="Q207">
        <v>14548459.3069831</v>
      </c>
      <c r="R207">
        <v>0.35949418850675702</v>
      </c>
      <c r="S207">
        <v>2.3115467596285201E-3</v>
      </c>
      <c r="T207">
        <v>0.22597435202890601</v>
      </c>
      <c r="U207">
        <v>2.9908644130638802E-3</v>
      </c>
      <c r="V207">
        <v>0.96717062066606097</v>
      </c>
      <c r="W207">
        <v>3.1751611186442201E-2</v>
      </c>
      <c r="X207">
        <v>0.62842459035687603</v>
      </c>
      <c r="Y207">
        <v>0.23350712459130399</v>
      </c>
      <c r="Z207">
        <v>0.10209411788841601</v>
      </c>
      <c r="AA207">
        <v>8.5563714117808899E-4</v>
      </c>
      <c r="AB207">
        <v>57</v>
      </c>
    </row>
    <row r="208" spans="1:28" x14ac:dyDescent="0.25">
      <c r="A208">
        <v>1342</v>
      </c>
      <c r="B208" s="1">
        <v>45448</v>
      </c>
      <c r="C208" t="s">
        <v>480</v>
      </c>
      <c r="D208">
        <v>4.71</v>
      </c>
      <c r="E208">
        <v>905</v>
      </c>
      <c r="F208" t="s">
        <v>109</v>
      </c>
      <c r="G208" t="s">
        <v>481</v>
      </c>
      <c r="H208">
        <v>10003</v>
      </c>
      <c r="I208">
        <f>VLOOKUP(H208,Sheet1!H:AE,2)</f>
        <v>3</v>
      </c>
      <c r="J208" t="str">
        <f>VLOOKUP(H208,Sheet1!H:T,3,FALSE)</f>
        <v>30"</v>
      </c>
      <c r="K208">
        <f>VLOOKUP($H208,Sheet1!H:$AE,4,FALSE)</f>
        <v>75000</v>
      </c>
      <c r="L208" t="str">
        <f>VLOOKUP($H208,Sheet1!$H:$AE,5,FALSE)</f>
        <v>Redhawk</v>
      </c>
      <c r="M208">
        <f>VLOOKUP($H208,Sheet1!$H:$AE,13,FALSE)</f>
        <v>457</v>
      </c>
      <c r="N208">
        <v>2323.86906894718</v>
      </c>
      <c r="O208">
        <v>1060776.3252904899</v>
      </c>
      <c r="P208">
        <v>16483.713338184301</v>
      </c>
      <c r="Q208">
        <v>15077193.324445199</v>
      </c>
      <c r="R208">
        <v>0.36371086119187301</v>
      </c>
      <c r="S208">
        <v>2.6337260774678202E-3</v>
      </c>
      <c r="T208">
        <v>0.20999783145284201</v>
      </c>
      <c r="U208">
        <v>3.0358600991804E-3</v>
      </c>
      <c r="V208">
        <v>0.67135526315789495</v>
      </c>
      <c r="W208">
        <v>0.22063737378831</v>
      </c>
      <c r="X208">
        <v>0.298307788879008</v>
      </c>
      <c r="Y208">
        <v>0.20932025197335499</v>
      </c>
      <c r="Z208">
        <v>7.7678776515304901E-2</v>
      </c>
      <c r="AA208">
        <v>1.12397102936487E-3</v>
      </c>
      <c r="AB208">
        <v>39</v>
      </c>
    </row>
    <row r="209" spans="1:28" x14ac:dyDescent="0.25">
      <c r="A209">
        <v>1343</v>
      </c>
      <c r="B209" s="1">
        <v>45448</v>
      </c>
      <c r="C209" t="s">
        <v>482</v>
      </c>
      <c r="D209">
        <v>4.71</v>
      </c>
      <c r="E209">
        <v>905</v>
      </c>
      <c r="F209" t="s">
        <v>112</v>
      </c>
      <c r="G209" t="s">
        <v>483</v>
      </c>
      <c r="H209">
        <v>11003</v>
      </c>
      <c r="I209">
        <f>VLOOKUP(H209,Sheet1!H:AE,2)</f>
        <v>3</v>
      </c>
      <c r="J209" t="str">
        <f>VLOOKUP(H209,Sheet1!H:T,3,FALSE)</f>
        <v>30"</v>
      </c>
      <c r="K209">
        <f>VLOOKUP($H209,Sheet1!H:$AE,4,FALSE)</f>
        <v>75000</v>
      </c>
      <c r="L209" t="str">
        <f>VLOOKUP($H209,Sheet1!$H:$AE,5,FALSE)</f>
        <v>Eclipse</v>
      </c>
      <c r="M209">
        <f>VLOOKUP($H209,Sheet1!$H:$AE,13,FALSE)</f>
        <v>1888</v>
      </c>
      <c r="N209">
        <v>2469.0019664651199</v>
      </c>
      <c r="O209">
        <v>1217166.16434645</v>
      </c>
      <c r="P209">
        <v>16679.240359124298</v>
      </c>
      <c r="Q209">
        <v>15842017.7650551</v>
      </c>
      <c r="R209">
        <v>0.36251718485401502</v>
      </c>
      <c r="S209">
        <v>2.44170209610749E-3</v>
      </c>
      <c r="T209">
        <v>0.214896179679642</v>
      </c>
      <c r="U209">
        <v>2.50003296194102E-3</v>
      </c>
      <c r="V209">
        <v>0.84173684210526301</v>
      </c>
      <c r="W209">
        <v>0.13321593074786001</v>
      </c>
      <c r="X209">
        <v>0.52894366887893496</v>
      </c>
      <c r="Y209">
        <v>0.24916226403160899</v>
      </c>
      <c r="Z209">
        <v>9.0489542604767506E-2</v>
      </c>
      <c r="AA209">
        <v>1.0085377212133101E-3</v>
      </c>
      <c r="AB209">
        <v>79</v>
      </c>
    </row>
    <row r="210" spans="1:28" x14ac:dyDescent="0.25">
      <c r="A210">
        <v>1344</v>
      </c>
      <c r="B210" s="1">
        <v>45448</v>
      </c>
      <c r="C210" t="s">
        <v>484</v>
      </c>
      <c r="D210">
        <v>4.71</v>
      </c>
      <c r="E210">
        <v>905</v>
      </c>
      <c r="F210" t="s">
        <v>115</v>
      </c>
      <c r="G210" t="s">
        <v>485</v>
      </c>
      <c r="H210">
        <v>12003</v>
      </c>
      <c r="I210">
        <f>VLOOKUP(H210,Sheet1!H:AE,2)</f>
        <v>3</v>
      </c>
      <c r="J210" t="str">
        <f>VLOOKUP(H210,Sheet1!H:T,3,FALSE)</f>
        <v>30"</v>
      </c>
      <c r="K210">
        <f>VLOOKUP($H210,Sheet1!H:$AE,4,FALSE)</f>
        <v>75000</v>
      </c>
      <c r="L210" t="str">
        <f>VLOOKUP($H210,Sheet1!$H:$AE,5,FALSE)</f>
        <v>Apex</v>
      </c>
      <c r="M210">
        <f>VLOOKUP($H210,Sheet1!$H:$AE,13,FALSE)</f>
        <v>2036</v>
      </c>
      <c r="N210">
        <v>2800.2505983456299</v>
      </c>
      <c r="O210">
        <v>1776147.36444726</v>
      </c>
      <c r="P210">
        <v>16864.898359857401</v>
      </c>
      <c r="Q210">
        <v>15587524.692241499</v>
      </c>
      <c r="R210">
        <v>0.36609446693907899</v>
      </c>
      <c r="S210">
        <v>2.7324859502910102E-3</v>
      </c>
      <c r="T210">
        <v>0.22730126472197101</v>
      </c>
      <c r="U210">
        <v>3.5554319808066299E-3</v>
      </c>
      <c r="V210">
        <v>0.96228897748654596</v>
      </c>
      <c r="W210">
        <v>3.6288901294522197E-2</v>
      </c>
      <c r="X210">
        <v>0.45730594950862102</v>
      </c>
      <c r="Y210">
        <v>0.24817721805235901</v>
      </c>
      <c r="Z210">
        <v>0.116475845461096</v>
      </c>
      <c r="AA210">
        <v>8.8454664812347703E-4</v>
      </c>
      <c r="AB210">
        <v>63</v>
      </c>
    </row>
    <row r="211" spans="1:28" x14ac:dyDescent="0.25">
      <c r="A211">
        <v>1345</v>
      </c>
      <c r="B211" s="1">
        <v>45448</v>
      </c>
      <c r="C211" t="s">
        <v>486</v>
      </c>
      <c r="D211">
        <v>4.71</v>
      </c>
      <c r="E211">
        <v>905</v>
      </c>
      <c r="F211" t="s">
        <v>118</v>
      </c>
      <c r="G211" t="s">
        <v>487</v>
      </c>
      <c r="H211">
        <v>13003</v>
      </c>
      <c r="I211">
        <f>VLOOKUP(H211,Sheet1!H:AE,2)</f>
        <v>3</v>
      </c>
      <c r="J211" t="str">
        <f>VLOOKUP(H211,Sheet1!H:T,3,FALSE)</f>
        <v>30"</v>
      </c>
      <c r="K211">
        <f>VLOOKUP($H211,Sheet1!H:$AE,4,FALSE)</f>
        <v>75000</v>
      </c>
      <c r="L211" t="str">
        <f>VLOOKUP($H211,Sheet1!$H:$AE,5,FALSE)</f>
        <v>Cayenne</v>
      </c>
      <c r="M211">
        <f>VLOOKUP($H211,Sheet1!$H:$AE,13,FALSE)</f>
        <v>2611</v>
      </c>
      <c r="N211">
        <v>2759.30152631689</v>
      </c>
      <c r="O211">
        <v>1203701.70299763</v>
      </c>
      <c r="P211">
        <v>17044.6545640435</v>
      </c>
      <c r="Q211">
        <v>14183706.6712134</v>
      </c>
      <c r="R211">
        <v>0.36221959754952099</v>
      </c>
      <c r="S211">
        <v>2.3178850299388799E-3</v>
      </c>
      <c r="T211">
        <v>0.231563472475322</v>
      </c>
      <c r="U211">
        <v>2.2936178858554502E-3</v>
      </c>
      <c r="V211">
        <v>0.97767046501223698</v>
      </c>
      <c r="W211">
        <v>2.1830926854998899E-2</v>
      </c>
      <c r="X211">
        <v>0.50923582913225696</v>
      </c>
      <c r="Y211">
        <v>0.249914699460453</v>
      </c>
      <c r="Z211">
        <v>0.101541433721954</v>
      </c>
      <c r="AA211">
        <v>8.1137284474565199E-4</v>
      </c>
      <c r="AB211">
        <v>66</v>
      </c>
    </row>
    <row r="212" spans="1:28" x14ac:dyDescent="0.25">
      <c r="A212">
        <v>1346</v>
      </c>
      <c r="B212" s="1">
        <v>45448</v>
      </c>
      <c r="C212" t="s">
        <v>488</v>
      </c>
      <c r="D212">
        <v>4.71</v>
      </c>
      <c r="E212">
        <v>905</v>
      </c>
      <c r="F212" t="s">
        <v>121</v>
      </c>
      <c r="G212">
        <v>5009368918945780</v>
      </c>
      <c r="H212">
        <v>14003</v>
      </c>
      <c r="I212">
        <f>VLOOKUP(H212,Sheet1!H:AE,2)</f>
        <v>3</v>
      </c>
      <c r="J212" t="str">
        <f>VLOOKUP(H212,Sheet1!H:T,3,FALSE)</f>
        <v>30"</v>
      </c>
      <c r="K212">
        <f>VLOOKUP($H212,Sheet1!H:$AE,4,FALSE)</f>
        <v>75000</v>
      </c>
      <c r="L212" t="str">
        <f>VLOOKUP($H212,Sheet1!$H:$AE,5,FALSE)</f>
        <v>Merlot</v>
      </c>
      <c r="M212">
        <f>VLOOKUP($H212,Sheet1!$H:$AE,13,FALSE)</f>
        <v>1199</v>
      </c>
      <c r="N212">
        <v>2706.9441404117701</v>
      </c>
      <c r="O212">
        <v>1129727.3994998501</v>
      </c>
      <c r="P212">
        <v>16711.5128263185</v>
      </c>
      <c r="Q212">
        <v>14133331.025496799</v>
      </c>
      <c r="R212">
        <v>0.36122544767890602</v>
      </c>
      <c r="S212">
        <v>2.1894935284167802E-3</v>
      </c>
      <c r="T212">
        <v>0.23904195181788099</v>
      </c>
      <c r="U212">
        <v>2.0358093959990599E-3</v>
      </c>
      <c r="V212">
        <v>0.82267571906002501</v>
      </c>
      <c r="W212">
        <v>0.145880380328899</v>
      </c>
      <c r="X212">
        <v>0.36146492650520401</v>
      </c>
      <c r="Y212">
        <v>0.23080803341138201</v>
      </c>
      <c r="Z212">
        <v>0.100795516765079</v>
      </c>
      <c r="AA212">
        <v>1.1483676572164199E-3</v>
      </c>
      <c r="AB212">
        <v>35</v>
      </c>
    </row>
    <row r="213" spans="1:28" x14ac:dyDescent="0.25">
      <c r="A213">
        <v>1347</v>
      </c>
      <c r="B213" s="1">
        <v>45448</v>
      </c>
      <c r="C213" t="s">
        <v>489</v>
      </c>
      <c r="D213">
        <v>4.71</v>
      </c>
      <c r="E213">
        <v>905</v>
      </c>
      <c r="F213" t="s">
        <v>124</v>
      </c>
      <c r="G213" t="s">
        <v>490</v>
      </c>
      <c r="H213">
        <v>15003</v>
      </c>
      <c r="I213">
        <f>VLOOKUP(H213,Sheet1!H:AE,2)</f>
        <v>3</v>
      </c>
      <c r="J213" t="str">
        <f>VLOOKUP(H213,Sheet1!H:T,3,FALSE)</f>
        <v>30"</v>
      </c>
      <c r="K213">
        <f>VLOOKUP($H213,Sheet1!H:$AE,4,FALSE)</f>
        <v>75000</v>
      </c>
      <c r="L213" t="str">
        <f>VLOOKUP($H213,Sheet1!$H:$AE,5,FALSE)</f>
        <v>Nautica</v>
      </c>
      <c r="M213">
        <f>VLOOKUP($H213,Sheet1!$H:$AE,13,FALSE)</f>
        <v>1883</v>
      </c>
      <c r="N213">
        <v>2409.18388327093</v>
      </c>
      <c r="O213">
        <v>1692920.59746171</v>
      </c>
      <c r="P213">
        <v>16630.652013883799</v>
      </c>
      <c r="Q213">
        <v>18369353.492906999</v>
      </c>
      <c r="R213">
        <v>0.35710269993288302</v>
      </c>
      <c r="S213">
        <v>2.2010398913457599E-3</v>
      </c>
      <c r="T213">
        <v>0.229587490898472</v>
      </c>
      <c r="U213">
        <v>2.07546934190412E-3</v>
      </c>
      <c r="V213">
        <v>0.93945972973328595</v>
      </c>
      <c r="W213">
        <v>5.6875145942705103E-2</v>
      </c>
      <c r="X213">
        <v>0.44004106239129498</v>
      </c>
      <c r="Y213">
        <v>0.246404925801082</v>
      </c>
      <c r="Z213">
        <v>8.4192931908469798E-2</v>
      </c>
      <c r="AA213">
        <v>2.9695728572760498E-3</v>
      </c>
      <c r="AB213">
        <v>53</v>
      </c>
    </row>
    <row r="214" spans="1:28" x14ac:dyDescent="0.25">
      <c r="A214">
        <v>1348</v>
      </c>
      <c r="B214" s="1">
        <v>45448</v>
      </c>
      <c r="C214" t="s">
        <v>491</v>
      </c>
      <c r="D214">
        <v>4.71</v>
      </c>
      <c r="E214">
        <v>905</v>
      </c>
      <c r="F214" t="s">
        <v>24</v>
      </c>
      <c r="G214" t="s">
        <v>492</v>
      </c>
      <c r="H214">
        <v>15010</v>
      </c>
      <c r="I214">
        <f>VLOOKUP(H214,Sheet1!H:AE,2)</f>
        <v>3</v>
      </c>
      <c r="J214" t="str">
        <f>VLOOKUP(H214,Sheet1!H:T,3,FALSE)</f>
        <v>30"</v>
      </c>
      <c r="K214">
        <f>VLOOKUP($H214,Sheet1!H:$AE,4,FALSE)</f>
        <v>100000</v>
      </c>
      <c r="L214" t="str">
        <f>VLOOKUP($H214,Sheet1!$H:$AE,5,FALSE)</f>
        <v>ETNA</v>
      </c>
      <c r="M214">
        <f>VLOOKUP($H214,Sheet1!$H:$AE,13,FALSE)</f>
        <v>1349</v>
      </c>
      <c r="N214">
        <v>2422.7676195808099</v>
      </c>
      <c r="O214">
        <v>1665561.3787016999</v>
      </c>
      <c r="P214">
        <v>15947.2031271331</v>
      </c>
      <c r="Q214">
        <v>19795940.312608499</v>
      </c>
      <c r="R214">
        <v>0.390473315598652</v>
      </c>
      <c r="S214">
        <v>2.9647207052036699E-3</v>
      </c>
      <c r="T214">
        <v>0.25408718430904198</v>
      </c>
      <c r="U214">
        <v>4.3254140440069904E-3</v>
      </c>
      <c r="V214">
        <v>0.98067130695648697</v>
      </c>
      <c r="W214">
        <v>1.8955094668756299E-2</v>
      </c>
      <c r="X214">
        <v>0.45923077929041201</v>
      </c>
      <c r="Y214">
        <v>0.24833787064239901</v>
      </c>
      <c r="Z214">
        <v>8.4192931908469798E-2</v>
      </c>
      <c r="AA214">
        <v>2.9695728572760498E-3</v>
      </c>
      <c r="AB214">
        <v>96</v>
      </c>
    </row>
    <row r="215" spans="1:28" x14ac:dyDescent="0.25">
      <c r="A215">
        <v>1349</v>
      </c>
      <c r="B215" s="1">
        <v>45448</v>
      </c>
      <c r="C215" t="s">
        <v>493</v>
      </c>
      <c r="D215">
        <v>4.71</v>
      </c>
      <c r="E215">
        <v>905</v>
      </c>
      <c r="F215" t="s">
        <v>28</v>
      </c>
      <c r="G215" t="s">
        <v>494</v>
      </c>
      <c r="H215">
        <v>14010</v>
      </c>
      <c r="I215">
        <f>VLOOKUP(H215,Sheet1!H:AE,2)</f>
        <v>3</v>
      </c>
      <c r="J215" t="str">
        <f>VLOOKUP(H215,Sheet1!H:T,3,FALSE)</f>
        <v>30"</v>
      </c>
      <c r="K215">
        <f>VLOOKUP($H215,Sheet1!H:$AE,4,FALSE)</f>
        <v>100000</v>
      </c>
      <c r="L215" t="str">
        <f>VLOOKUP($H215,Sheet1!$H:$AE,5,FALSE)</f>
        <v>Nautica</v>
      </c>
      <c r="M215">
        <f>VLOOKUP($H215,Sheet1!$H:$AE,13,FALSE)</f>
        <v>2338</v>
      </c>
      <c r="N215">
        <v>2677.8697146136301</v>
      </c>
      <c r="O215">
        <v>1574896.38745834</v>
      </c>
      <c r="P215">
        <v>16293.978441396799</v>
      </c>
      <c r="Q215">
        <v>14572300.299417</v>
      </c>
      <c r="R215">
        <v>0.37397631147518501</v>
      </c>
      <c r="S215">
        <v>2.4102140769433102E-3</v>
      </c>
      <c r="T215">
        <v>0.24974212582965999</v>
      </c>
      <c r="U215">
        <v>2.8942553152051199E-3</v>
      </c>
      <c r="V215">
        <v>0.88714622176024005</v>
      </c>
      <c r="W215">
        <v>0.10011780297683</v>
      </c>
      <c r="X215">
        <v>0.27658628445885802</v>
      </c>
      <c r="Y215">
        <v>0.200086311708046</v>
      </c>
      <c r="Z215">
        <v>0.100795516765079</v>
      </c>
      <c r="AA215">
        <v>1.1483676572164199E-3</v>
      </c>
      <c r="AB215">
        <v>71</v>
      </c>
    </row>
    <row r="216" spans="1:28" x14ac:dyDescent="0.25">
      <c r="A216">
        <v>1350</v>
      </c>
      <c r="B216" s="1">
        <v>45448</v>
      </c>
      <c r="C216" t="s">
        <v>495</v>
      </c>
      <c r="D216">
        <v>4.71</v>
      </c>
      <c r="E216">
        <v>905</v>
      </c>
      <c r="F216" t="s">
        <v>32</v>
      </c>
      <c r="G216" t="s">
        <v>496</v>
      </c>
      <c r="H216">
        <v>13010</v>
      </c>
      <c r="I216">
        <f>VLOOKUP(H216,Sheet1!H:AE,2)</f>
        <v>3</v>
      </c>
      <c r="J216" t="str">
        <f>VLOOKUP(H216,Sheet1!H:T,3,FALSE)</f>
        <v>30"</v>
      </c>
      <c r="K216">
        <f>VLOOKUP($H216,Sheet1!H:$AE,4,FALSE)</f>
        <v>100000</v>
      </c>
      <c r="L216" t="str">
        <f>VLOOKUP($H216,Sheet1!$H:$AE,5,FALSE)</f>
        <v>Eclipse</v>
      </c>
      <c r="M216">
        <f>VLOOKUP($H216,Sheet1!$H:$AE,13,FALSE)</f>
        <v>2948</v>
      </c>
      <c r="N216">
        <v>2675.51941998964</v>
      </c>
      <c r="O216">
        <v>1247904.58664191</v>
      </c>
      <c r="P216">
        <v>16771.266632149702</v>
      </c>
      <c r="Q216">
        <v>16631811.656680901</v>
      </c>
      <c r="R216">
        <v>0.35790506903617803</v>
      </c>
      <c r="S216">
        <v>2.7575477394551099E-3</v>
      </c>
      <c r="T216">
        <v>0.22973519190438299</v>
      </c>
      <c r="U216">
        <v>3.2212420510720299E-3</v>
      </c>
      <c r="V216">
        <v>0.99664478098972398</v>
      </c>
      <c r="W216">
        <v>3.3439615156689801E-3</v>
      </c>
      <c r="X216">
        <v>0.32409847320757101</v>
      </c>
      <c r="Y216">
        <v>0.21905865287270601</v>
      </c>
      <c r="Z216">
        <v>0.101541433721954</v>
      </c>
      <c r="AA216">
        <v>8.1137284474565199E-4</v>
      </c>
      <c r="AB216">
        <v>89</v>
      </c>
    </row>
    <row r="217" spans="1:28" x14ac:dyDescent="0.25">
      <c r="A217">
        <v>1351</v>
      </c>
      <c r="B217" s="1">
        <v>45448</v>
      </c>
      <c r="C217" t="s">
        <v>497</v>
      </c>
      <c r="D217">
        <v>4.71</v>
      </c>
      <c r="E217">
        <v>905</v>
      </c>
      <c r="F217" t="s">
        <v>36</v>
      </c>
      <c r="G217" s="2" t="s">
        <v>498</v>
      </c>
      <c r="H217">
        <v>12010</v>
      </c>
      <c r="I217">
        <f>VLOOKUP(H217,Sheet1!H:AE,2)</f>
        <v>3</v>
      </c>
      <c r="J217" t="str">
        <f>VLOOKUP(H217,Sheet1!H:T,3,FALSE)</f>
        <v>30"</v>
      </c>
      <c r="K217">
        <f>VLOOKUP($H217,Sheet1!H:$AE,4,FALSE)</f>
        <v>100000</v>
      </c>
      <c r="L217" t="str">
        <f>VLOOKUP($H217,Sheet1!$H:$AE,5,FALSE)</f>
        <v>Redhawk</v>
      </c>
      <c r="M217">
        <f>VLOOKUP($H217,Sheet1!$H:$AE,13,FALSE)</f>
        <v>933</v>
      </c>
      <c r="N217">
        <v>2758.5459259725799</v>
      </c>
      <c r="O217">
        <v>1456073.61403192</v>
      </c>
      <c r="P217">
        <v>17164.713422428598</v>
      </c>
      <c r="Q217">
        <v>15334533.9108597</v>
      </c>
      <c r="R217">
        <v>0.35229017850723199</v>
      </c>
      <c r="S217">
        <v>2.3473930626554001E-3</v>
      </c>
      <c r="T217">
        <v>0.21275424019353001</v>
      </c>
      <c r="U217">
        <v>2.4613975128112801E-3</v>
      </c>
      <c r="V217">
        <v>0.95193421052631599</v>
      </c>
      <c r="W217">
        <v>4.5755469355943899E-2</v>
      </c>
      <c r="X217">
        <v>0.36034027305539501</v>
      </c>
      <c r="Y217">
        <v>0.23049516066938699</v>
      </c>
      <c r="Z217">
        <v>0.116475845461096</v>
      </c>
      <c r="AA217">
        <v>8.8454664812347703E-4</v>
      </c>
      <c r="AB217">
        <v>49</v>
      </c>
    </row>
    <row r="218" spans="1:28" x14ac:dyDescent="0.25">
      <c r="A218">
        <v>1352</v>
      </c>
      <c r="B218" s="1">
        <v>45448</v>
      </c>
      <c r="C218" t="s">
        <v>499</v>
      </c>
      <c r="D218">
        <v>4.71</v>
      </c>
      <c r="E218">
        <v>905</v>
      </c>
      <c r="F218" t="s">
        <v>40</v>
      </c>
      <c r="G218" t="s">
        <v>500</v>
      </c>
      <c r="H218">
        <v>11010</v>
      </c>
      <c r="I218">
        <f>VLOOKUP(H218,Sheet1!H:AE,2)</f>
        <v>3</v>
      </c>
      <c r="J218" t="str">
        <f>VLOOKUP(H218,Sheet1!H:T,3,FALSE)</f>
        <v>30"</v>
      </c>
      <c r="K218">
        <f>VLOOKUP($H218,Sheet1!H:$AE,4,FALSE)</f>
        <v>100000</v>
      </c>
      <c r="L218" t="str">
        <f>VLOOKUP($H218,Sheet1!$H:$AE,5,FALSE)</f>
        <v>Zorro</v>
      </c>
      <c r="M218">
        <f>VLOOKUP($H218,Sheet1!$H:$AE,13,FALSE)</f>
        <v>2056</v>
      </c>
      <c r="N218">
        <v>2719.13130528496</v>
      </c>
      <c r="O218">
        <v>1566855.2982681</v>
      </c>
      <c r="P218">
        <v>17178.8686195214</v>
      </c>
      <c r="Q218">
        <v>17649363.147130199</v>
      </c>
      <c r="R218">
        <v>0.37081760728044899</v>
      </c>
      <c r="S218">
        <v>2.6718741681574301E-3</v>
      </c>
      <c r="T218">
        <v>0.22774079539612899</v>
      </c>
      <c r="U218">
        <v>2.81853714970416E-3</v>
      </c>
      <c r="V218">
        <v>0.95450059867633297</v>
      </c>
      <c r="W218">
        <v>4.34292058028816E-2</v>
      </c>
      <c r="X218">
        <v>0.25803266683231102</v>
      </c>
      <c r="Y218">
        <v>0.19145180968025099</v>
      </c>
      <c r="Z218">
        <v>0.13521569368244701</v>
      </c>
      <c r="AA218">
        <v>9.0151645924958703E-4</v>
      </c>
      <c r="AB218">
        <v>74</v>
      </c>
    </row>
    <row r="219" spans="1:28" x14ac:dyDescent="0.25">
      <c r="A219">
        <v>1353</v>
      </c>
      <c r="B219" s="1">
        <v>45448</v>
      </c>
      <c r="C219" t="s">
        <v>501</v>
      </c>
      <c r="D219">
        <v>4.71</v>
      </c>
      <c r="E219">
        <v>905</v>
      </c>
      <c r="F219" t="s">
        <v>44</v>
      </c>
      <c r="G219" t="s">
        <v>502</v>
      </c>
      <c r="H219">
        <v>10010</v>
      </c>
      <c r="I219">
        <f>VLOOKUP(H219,Sheet1!H:AE,2)</f>
        <v>3</v>
      </c>
      <c r="J219" t="str">
        <f>VLOOKUP(H219,Sheet1!H:T,3,FALSE)</f>
        <v>30"</v>
      </c>
      <c r="K219">
        <f>VLOOKUP($H219,Sheet1!H:$AE,4,FALSE)</f>
        <v>100000</v>
      </c>
      <c r="L219" t="str">
        <f>VLOOKUP($H219,Sheet1!$H:$AE,5,FALSE)</f>
        <v>Ronnies red</v>
      </c>
      <c r="M219">
        <f>VLOOKUP($H219,Sheet1!$H:$AE,13,FALSE)</f>
        <v>1198</v>
      </c>
      <c r="N219">
        <v>2745.2195318240701</v>
      </c>
      <c r="O219">
        <v>2793199.2495418801</v>
      </c>
      <c r="P219">
        <v>16449.375476927598</v>
      </c>
      <c r="Q219">
        <v>19134580.207978401</v>
      </c>
      <c r="R219">
        <v>0.39557861548863898</v>
      </c>
      <c r="S219">
        <v>2.7264127618309201E-3</v>
      </c>
      <c r="T219">
        <v>0.24822839016525</v>
      </c>
      <c r="U219">
        <v>4.6883824178128499E-3</v>
      </c>
      <c r="V219">
        <v>0.99943421052631598</v>
      </c>
      <c r="W219">
        <v>5.6546935595519303E-4</v>
      </c>
      <c r="X219">
        <v>0.39904273683109198</v>
      </c>
      <c r="Y219">
        <v>0.239807631012946</v>
      </c>
      <c r="Z219">
        <v>7.7678776515304901E-2</v>
      </c>
      <c r="AA219">
        <v>1.12397102936487E-3</v>
      </c>
      <c r="AB219">
        <v>80</v>
      </c>
    </row>
    <row r="220" spans="1:28" x14ac:dyDescent="0.25">
      <c r="A220">
        <v>1354</v>
      </c>
      <c r="B220" s="1">
        <v>45448</v>
      </c>
      <c r="C220" t="s">
        <v>503</v>
      </c>
      <c r="D220">
        <v>4.71</v>
      </c>
      <c r="E220">
        <v>905</v>
      </c>
      <c r="F220" t="s">
        <v>48</v>
      </c>
      <c r="G220" t="s">
        <v>504</v>
      </c>
      <c r="H220">
        <v>9010</v>
      </c>
      <c r="I220">
        <f>VLOOKUP(H220,Sheet1!H:AE,2)</f>
        <v>2</v>
      </c>
      <c r="J220" t="str">
        <f>VLOOKUP(H220,Sheet1!H:T,3,FALSE)</f>
        <v>30"</v>
      </c>
      <c r="K220">
        <f>VLOOKUP($H220,Sheet1!H:$AE,4,FALSE)</f>
        <v>100000</v>
      </c>
      <c r="L220" t="str">
        <f>VLOOKUP($H220,Sheet1!$H:$AE,5,FALSE)</f>
        <v>Merlot</v>
      </c>
      <c r="M220">
        <f>VLOOKUP($H220,Sheet1!$H:$AE,13,FALSE)</f>
        <v>2074</v>
      </c>
      <c r="N220">
        <v>2563.93577057119</v>
      </c>
      <c r="O220">
        <v>1178638.73968463</v>
      </c>
      <c r="P220">
        <v>16932.7926786803</v>
      </c>
      <c r="Q220">
        <v>14782081.924373399</v>
      </c>
      <c r="R220">
        <v>0.35288168876610398</v>
      </c>
      <c r="S220">
        <v>2.2660146232842001E-3</v>
      </c>
      <c r="T220">
        <v>0.22162280917080801</v>
      </c>
      <c r="U220">
        <v>2.1130582626901202E-3</v>
      </c>
      <c r="V220">
        <v>0.90356705832817996</v>
      </c>
      <c r="W220">
        <v>8.7133629432401799E-2</v>
      </c>
      <c r="X220">
        <v>0.31895249615849802</v>
      </c>
      <c r="Y220">
        <v>0.217221801352561</v>
      </c>
      <c r="Z220">
        <v>0.10209411788841601</v>
      </c>
      <c r="AA220">
        <v>8.5563714117808899E-4</v>
      </c>
      <c r="AB220">
        <v>45</v>
      </c>
    </row>
    <row r="221" spans="1:28" x14ac:dyDescent="0.25">
      <c r="A221">
        <v>1355</v>
      </c>
      <c r="B221" s="1">
        <v>45448</v>
      </c>
      <c r="C221" t="s">
        <v>505</v>
      </c>
      <c r="D221">
        <v>4.71</v>
      </c>
      <c r="E221">
        <v>905</v>
      </c>
      <c r="F221" t="s">
        <v>52</v>
      </c>
      <c r="G221" t="s">
        <v>506</v>
      </c>
      <c r="H221">
        <v>8010</v>
      </c>
      <c r="I221">
        <f>VLOOKUP(H221,Sheet1!H:AE,2)</f>
        <v>2</v>
      </c>
      <c r="J221" t="str">
        <f>VLOOKUP(H221,Sheet1!H:T,3,FALSE)</f>
        <v>30"</v>
      </c>
      <c r="K221">
        <f>VLOOKUP($H221,Sheet1!H:$AE,4,FALSE)</f>
        <v>100000</v>
      </c>
      <c r="L221" t="str">
        <f>VLOOKUP($H221,Sheet1!$H:$AE,5,FALSE)</f>
        <v>CLERK</v>
      </c>
      <c r="M221">
        <f>VLOOKUP($H221,Sheet1!$H:$AE,13,FALSE)</f>
        <v>1277</v>
      </c>
      <c r="N221">
        <v>2633.1987207300499</v>
      </c>
      <c r="O221">
        <v>1943843.5121357699</v>
      </c>
      <c r="P221">
        <v>16817.664088688802</v>
      </c>
      <c r="Q221">
        <v>17604600.451078299</v>
      </c>
      <c r="R221">
        <v>0.32227677351405598</v>
      </c>
      <c r="S221">
        <v>3.0813975722679601E-3</v>
      </c>
      <c r="T221">
        <v>0.230136582243573</v>
      </c>
      <c r="U221">
        <v>3.48408623445176E-3</v>
      </c>
      <c r="V221">
        <v>0.99880264733358803</v>
      </c>
      <c r="W221">
        <v>1.1959190130051099E-3</v>
      </c>
      <c r="X221">
        <v>0.55421292845279602</v>
      </c>
      <c r="Y221">
        <v>0.24706095838816</v>
      </c>
      <c r="Z221">
        <v>9.6373351045459299E-2</v>
      </c>
      <c r="AA221">
        <v>9.1612187112057898E-4</v>
      </c>
      <c r="AB221">
        <v>82</v>
      </c>
    </row>
    <row r="222" spans="1:28" x14ac:dyDescent="0.25">
      <c r="A222">
        <v>1356</v>
      </c>
      <c r="B222" s="1">
        <v>45448</v>
      </c>
      <c r="C222" t="s">
        <v>507</v>
      </c>
      <c r="D222">
        <v>4.71</v>
      </c>
      <c r="E222">
        <v>905</v>
      </c>
      <c r="F222" t="s">
        <v>56</v>
      </c>
      <c r="G222" s="2" t="s">
        <v>508</v>
      </c>
      <c r="H222">
        <v>7010</v>
      </c>
      <c r="I222">
        <f>VLOOKUP(H222,Sheet1!H:AE,2)</f>
        <v>2</v>
      </c>
      <c r="J222" t="str">
        <f>VLOOKUP(H222,Sheet1!H:T,3,FALSE)</f>
        <v>30"</v>
      </c>
      <c r="K222">
        <f>VLOOKUP($H222,Sheet1!H:$AE,4,FALSE)</f>
        <v>100000</v>
      </c>
      <c r="L222" t="str">
        <f>VLOOKUP($H222,Sheet1!$H:$AE,5,FALSE)</f>
        <v>Windbreaker</v>
      </c>
      <c r="M222">
        <f>VLOOKUP($H222,Sheet1!$H:$AE,13,FALSE)</f>
        <v>2042</v>
      </c>
      <c r="N222">
        <v>2835.24500850287</v>
      </c>
      <c r="O222">
        <v>2613383.6611748701</v>
      </c>
      <c r="P222">
        <v>16513.3571072704</v>
      </c>
      <c r="Q222">
        <v>18379166.480671901</v>
      </c>
      <c r="R222">
        <v>0.34261245663666401</v>
      </c>
      <c r="S222">
        <v>2.90881554518428E-3</v>
      </c>
      <c r="T222">
        <v>0.23031163965101301</v>
      </c>
      <c r="U222">
        <v>4.4927006574004801E-3</v>
      </c>
      <c r="V222">
        <v>0.99047380955513697</v>
      </c>
      <c r="W222">
        <v>9.4354421404664896E-3</v>
      </c>
      <c r="X222">
        <v>0.454114493085297</v>
      </c>
      <c r="Y222">
        <v>0.24789452025556999</v>
      </c>
      <c r="Z222">
        <v>9.3056265944980301E-2</v>
      </c>
      <c r="AA222">
        <v>9.3336123640364304E-4</v>
      </c>
      <c r="AB222">
        <v>75</v>
      </c>
    </row>
    <row r="223" spans="1:28" x14ac:dyDescent="0.25">
      <c r="A223">
        <v>1357</v>
      </c>
      <c r="B223" s="1">
        <v>45448</v>
      </c>
      <c r="C223" t="s">
        <v>509</v>
      </c>
      <c r="D223">
        <v>4.71</v>
      </c>
      <c r="E223">
        <v>905</v>
      </c>
      <c r="F223" t="s">
        <v>60</v>
      </c>
      <c r="G223" t="s">
        <v>510</v>
      </c>
      <c r="H223">
        <v>6010</v>
      </c>
      <c r="I223">
        <f>VLOOKUP(H223,Sheet1!H:AE,2)</f>
        <v>2</v>
      </c>
      <c r="J223" t="str">
        <f>VLOOKUP(H223,Sheet1!H:T,3,FALSE)</f>
        <v>30"</v>
      </c>
      <c r="K223">
        <f>VLOOKUP($H223,Sheet1!H:$AE,4,FALSE)</f>
        <v>100000</v>
      </c>
      <c r="L223" t="str">
        <f>VLOOKUP($H223,Sheet1!$H:$AE,5,FALSE)</f>
        <v>Cayenne</v>
      </c>
      <c r="M223">
        <f>VLOOKUP($H223,Sheet1!$H:$AE,13,FALSE)</f>
        <v>2617</v>
      </c>
      <c r="N223">
        <v>2692.6298445001198</v>
      </c>
      <c r="O223">
        <v>1373512.16175877</v>
      </c>
      <c r="P223">
        <v>16705.4119066776</v>
      </c>
      <c r="Q223">
        <v>18393355.533466201</v>
      </c>
      <c r="R223">
        <v>0.35165578851221302</v>
      </c>
      <c r="S223">
        <v>3.2106639189070402E-3</v>
      </c>
      <c r="T223">
        <v>0.22487992282918801</v>
      </c>
      <c r="U223">
        <v>4.2975861064421502E-3</v>
      </c>
      <c r="V223">
        <v>0.99426323337850797</v>
      </c>
      <c r="W223">
        <v>5.7038561302097703E-3</v>
      </c>
      <c r="X223">
        <v>0.35259193388083898</v>
      </c>
      <c r="Y223">
        <v>0.228270862043363</v>
      </c>
      <c r="Z223">
        <v>9.0332477784697399E-2</v>
      </c>
      <c r="AA223">
        <v>1.02611903384868E-3</v>
      </c>
      <c r="AB223">
        <v>75</v>
      </c>
    </row>
    <row r="224" spans="1:28" x14ac:dyDescent="0.25">
      <c r="A224">
        <v>1358</v>
      </c>
      <c r="B224" s="1">
        <v>45448</v>
      </c>
      <c r="C224" t="s">
        <v>511</v>
      </c>
      <c r="D224">
        <v>4.71</v>
      </c>
      <c r="E224">
        <v>905</v>
      </c>
      <c r="F224" t="s">
        <v>64</v>
      </c>
      <c r="G224" t="s">
        <v>512</v>
      </c>
      <c r="H224">
        <v>5010</v>
      </c>
      <c r="I224">
        <f>VLOOKUP(H224,Sheet1!H:AE,2)</f>
        <v>2</v>
      </c>
      <c r="J224" t="str">
        <f>VLOOKUP(H224,Sheet1!H:T,3,FALSE)</f>
        <v>30"</v>
      </c>
      <c r="K224">
        <f>VLOOKUP($H224,Sheet1!H:$AE,4,FALSE)</f>
        <v>100000</v>
      </c>
      <c r="L224" t="str">
        <f>VLOOKUP($H224,Sheet1!$H:$AE,5,FALSE)</f>
        <v>Red Dawn</v>
      </c>
      <c r="M224">
        <f>VLOOKUP($H224,Sheet1!$H:$AE,13,FALSE)</f>
        <v>686</v>
      </c>
      <c r="N224">
        <v>2948.3081439698799</v>
      </c>
      <c r="O224">
        <v>2793860.1531735598</v>
      </c>
      <c r="P224">
        <v>16767.910784304298</v>
      </c>
      <c r="Q224">
        <v>16689235.8357333</v>
      </c>
      <c r="R224">
        <v>0.359121574678536</v>
      </c>
      <c r="S224">
        <v>2.7000669208164401E-3</v>
      </c>
      <c r="T224">
        <v>0.23595536592340199</v>
      </c>
      <c r="U224">
        <v>4.7058697130512497E-3</v>
      </c>
      <c r="V224">
        <v>0.99928947368421095</v>
      </c>
      <c r="W224">
        <v>7.1002146814504901E-4</v>
      </c>
      <c r="X224">
        <v>0.368193231155516</v>
      </c>
      <c r="Y224">
        <v>0.23262697568684201</v>
      </c>
      <c r="Z224">
        <v>8.5872909838574096E-2</v>
      </c>
      <c r="AA224">
        <v>8.7433742098954204E-4</v>
      </c>
      <c r="AB224">
        <v>80</v>
      </c>
    </row>
    <row r="225" spans="1:28" x14ac:dyDescent="0.25">
      <c r="A225">
        <v>1359</v>
      </c>
      <c r="B225" s="1">
        <v>45448</v>
      </c>
      <c r="C225" t="s">
        <v>513</v>
      </c>
      <c r="D225">
        <v>4.71</v>
      </c>
      <c r="E225">
        <v>905</v>
      </c>
      <c r="F225" t="s">
        <v>68</v>
      </c>
      <c r="G225" t="s">
        <v>514</v>
      </c>
      <c r="H225">
        <v>4010</v>
      </c>
      <c r="I225">
        <f>VLOOKUP(H225,Sheet1!H:AE,2)</f>
        <v>1</v>
      </c>
      <c r="J225" t="str">
        <f>VLOOKUP(H225,Sheet1!H:T,3,FALSE)</f>
        <v>30"</v>
      </c>
      <c r="K225">
        <f>VLOOKUP($H225,Sheet1!H:$AE,4,FALSE)</f>
        <v>100000</v>
      </c>
      <c r="L225" t="str">
        <f>VLOOKUP($H225,Sheet1!$H:$AE,5,FALSE)</f>
        <v>Apex</v>
      </c>
      <c r="M225">
        <f>VLOOKUP($H225,Sheet1!$H:$AE,13,FALSE)</f>
        <v>2540</v>
      </c>
      <c r="N225">
        <v>2865.8458206197702</v>
      </c>
      <c r="O225">
        <v>2467847.0950527498</v>
      </c>
      <c r="P225">
        <v>16705.355045267101</v>
      </c>
      <c r="Q225">
        <v>17902099.573956799</v>
      </c>
      <c r="R225">
        <v>0.360273096327205</v>
      </c>
      <c r="S225">
        <v>2.6899289438099801E-3</v>
      </c>
      <c r="T225">
        <v>0.233363783385658</v>
      </c>
      <c r="U225">
        <v>4.1419311964360998E-3</v>
      </c>
      <c r="V225">
        <v>0.99847374445745596</v>
      </c>
      <c r="W225">
        <v>1.5239260865630799E-3</v>
      </c>
      <c r="X225">
        <v>0.38626971464441701</v>
      </c>
      <c r="Y225">
        <v>0.237065422192449</v>
      </c>
      <c r="Z225">
        <v>9.0307155243878806E-2</v>
      </c>
      <c r="AA225">
        <v>9.5910824056944801E-4</v>
      </c>
      <c r="AB225">
        <v>80</v>
      </c>
    </row>
    <row r="226" spans="1:28" x14ac:dyDescent="0.25">
      <c r="A226">
        <v>1360</v>
      </c>
      <c r="B226" s="1">
        <v>45448</v>
      </c>
      <c r="C226" t="s">
        <v>515</v>
      </c>
      <c r="D226">
        <v>4.71</v>
      </c>
      <c r="E226">
        <v>905</v>
      </c>
      <c r="F226" t="s">
        <v>72</v>
      </c>
      <c r="G226" s="2" t="s">
        <v>516</v>
      </c>
      <c r="H226">
        <v>3010</v>
      </c>
      <c r="I226">
        <f>VLOOKUP(H226,Sheet1!H:AE,2)</f>
        <v>1</v>
      </c>
      <c r="J226" t="str">
        <f>VLOOKUP(H226,Sheet1!H:T,3,FALSE)</f>
        <v>30"</v>
      </c>
      <c r="K226">
        <f>VLOOKUP($H226,Sheet1!H:$AE,4,FALSE)</f>
        <v>100000</v>
      </c>
      <c r="L226" t="str">
        <f>VLOOKUP($H226,Sheet1!$H:$AE,5,FALSE)</f>
        <v>T9905</v>
      </c>
      <c r="M226">
        <f>VLOOKUP($H226,Sheet1!$H:$AE,13,FALSE)</f>
        <v>2416</v>
      </c>
      <c r="N226">
        <v>2474.3437163211902</v>
      </c>
      <c r="O226">
        <v>1086017.7513077799</v>
      </c>
      <c r="P226">
        <v>16010.0840555205</v>
      </c>
      <c r="Q226">
        <v>14986777.9572499</v>
      </c>
      <c r="R226">
        <v>0.35612990428434999</v>
      </c>
      <c r="S226">
        <v>2.4729122343967801E-3</v>
      </c>
      <c r="T226">
        <v>0.226175873777545</v>
      </c>
      <c r="U226">
        <v>2.8943301793375202E-3</v>
      </c>
      <c r="V226">
        <v>0.98614455453361205</v>
      </c>
      <c r="W226">
        <v>1.36634720972998E-2</v>
      </c>
      <c r="X226">
        <v>0.35681358990957002</v>
      </c>
      <c r="Y226">
        <v>0.229497651965721</v>
      </c>
      <c r="Z226">
        <v>9.4957034091235501E-2</v>
      </c>
      <c r="AA226">
        <v>8.4252624967331795E-4</v>
      </c>
      <c r="AB226">
        <v>74</v>
      </c>
    </row>
    <row r="227" spans="1:28" x14ac:dyDescent="0.25">
      <c r="A227">
        <v>1361</v>
      </c>
      <c r="B227" s="1">
        <v>45448</v>
      </c>
      <c r="C227" t="s">
        <v>517</v>
      </c>
      <c r="D227">
        <v>4.71</v>
      </c>
      <c r="E227">
        <v>905</v>
      </c>
      <c r="F227" t="s">
        <v>76</v>
      </c>
      <c r="G227" t="s">
        <v>518</v>
      </c>
      <c r="H227">
        <v>2010</v>
      </c>
      <c r="I227">
        <f>VLOOKUP(H227,Sheet1!H:AE,2)</f>
        <v>1</v>
      </c>
      <c r="J227" t="str">
        <f>VLOOKUP(H227,Sheet1!H:T,3,FALSE)</f>
        <v>30"</v>
      </c>
      <c r="K227">
        <f>VLOOKUP($H227,Sheet1!H:$AE,4,FALSE)</f>
        <v>100000</v>
      </c>
      <c r="L227" t="str">
        <f>VLOOKUP($H227,Sheet1!$H:$AE,5,FALSE)</f>
        <v>Red Rover</v>
      </c>
      <c r="M227">
        <f>VLOOKUP($H227,Sheet1!$H:$AE,13,FALSE)</f>
        <v>862</v>
      </c>
      <c r="N227">
        <v>2423.4780500094498</v>
      </c>
      <c r="O227">
        <v>1685348.8750352</v>
      </c>
      <c r="P227">
        <v>15717.558385075299</v>
      </c>
      <c r="Q227">
        <v>18007926.866026301</v>
      </c>
      <c r="R227">
        <v>0.36439918797555299</v>
      </c>
      <c r="S227">
        <v>3.0889928412048298E-3</v>
      </c>
      <c r="T227">
        <v>0.23798392157135101</v>
      </c>
      <c r="U227">
        <v>5.8213879483646098E-3</v>
      </c>
      <c r="V227">
        <v>1</v>
      </c>
      <c r="W227">
        <v>0</v>
      </c>
      <c r="X227">
        <v>0.45045934547356697</v>
      </c>
      <c r="Y227">
        <v>0.24754572354906201</v>
      </c>
      <c r="Z227">
        <v>0.10455132394219099</v>
      </c>
      <c r="AA227">
        <v>9.9505154427514996E-4</v>
      </c>
      <c r="AB227">
        <v>97</v>
      </c>
    </row>
    <row r="228" spans="1:28" x14ac:dyDescent="0.25">
      <c r="A228">
        <v>1362</v>
      </c>
      <c r="B228" s="1">
        <v>45448</v>
      </c>
      <c r="C228" t="s">
        <v>519</v>
      </c>
      <c r="D228">
        <v>4.71</v>
      </c>
      <c r="E228">
        <v>905</v>
      </c>
      <c r="F228" t="s">
        <v>79</v>
      </c>
      <c r="G228" t="s">
        <v>520</v>
      </c>
      <c r="H228">
        <v>1010</v>
      </c>
      <c r="I228">
        <f>VLOOKUP(H228,Sheet1!H:AE,2)</f>
        <v>1</v>
      </c>
      <c r="J228" t="str">
        <f>VLOOKUP(H228,Sheet1!H:T,3,FALSE)</f>
        <v>30"</v>
      </c>
      <c r="K228">
        <f>VLOOKUP($H228,Sheet1!H:$AE,4,FALSE)</f>
        <v>100000</v>
      </c>
      <c r="L228" t="str">
        <f>VLOOKUP($H228,Sheet1!$H:$AE,5,FALSE)</f>
        <v>black bear</v>
      </c>
      <c r="M228">
        <f>VLOOKUP($H228,Sheet1!$H:$AE,13,FALSE)</f>
        <v>2913</v>
      </c>
      <c r="N228">
        <v>2202.8935994513399</v>
      </c>
      <c r="O228">
        <v>1019397.33583136</v>
      </c>
      <c r="P228">
        <v>16151.071097952499</v>
      </c>
      <c r="Q228">
        <v>14203005.6242842</v>
      </c>
      <c r="R228">
        <v>0.37726598382711501</v>
      </c>
      <c r="S228">
        <v>2.89610119460687E-3</v>
      </c>
      <c r="T228">
        <v>0.23452372158927201</v>
      </c>
      <c r="U228">
        <v>4.0757012310410502E-3</v>
      </c>
      <c r="V228">
        <v>0.99468435041183101</v>
      </c>
      <c r="W228">
        <v>5.2873934576012404E-3</v>
      </c>
      <c r="X228">
        <v>0.32632831604964102</v>
      </c>
      <c r="Y228">
        <v>0.21983814619405401</v>
      </c>
      <c r="Z228">
        <v>0</v>
      </c>
      <c r="AA228">
        <v>0</v>
      </c>
      <c r="AB228">
        <v>82</v>
      </c>
    </row>
    <row r="229" spans="1:28" x14ac:dyDescent="0.25">
      <c r="A229">
        <v>1363</v>
      </c>
      <c r="B229" s="1">
        <v>45448</v>
      </c>
      <c r="C229" t="s">
        <v>521</v>
      </c>
      <c r="D229">
        <v>4.71</v>
      </c>
      <c r="E229">
        <v>905</v>
      </c>
      <c r="F229" t="s">
        <v>82</v>
      </c>
      <c r="G229" t="s">
        <v>522</v>
      </c>
      <c r="H229">
        <v>1011</v>
      </c>
      <c r="I229">
        <f>VLOOKUP(H229,Sheet1!H:AE,2)</f>
        <v>1</v>
      </c>
      <c r="J229" t="str">
        <f>VLOOKUP(H229,Sheet1!H:T,3,FALSE)</f>
        <v>30"</v>
      </c>
      <c r="K229">
        <f>VLOOKUP($H229,Sheet1!H:$AE,4,FALSE)</f>
        <v>75000</v>
      </c>
      <c r="L229" t="str">
        <f>VLOOKUP($H229,Sheet1!$H:$AE,5,FALSE)</f>
        <v>Redhawk</v>
      </c>
      <c r="M229">
        <f>VLOOKUP($H229,Sheet1!$H:$AE,13,FALSE)</f>
        <v>395</v>
      </c>
      <c r="N229">
        <v>2234.94282515134</v>
      </c>
      <c r="O229">
        <v>1290680.3249720801</v>
      </c>
      <c r="P229">
        <v>16280.833198566001</v>
      </c>
      <c r="Q229">
        <v>14260379.4523922</v>
      </c>
      <c r="R229">
        <v>0.37441349899516702</v>
      </c>
      <c r="S229">
        <v>2.46244333047832E-3</v>
      </c>
      <c r="T229">
        <v>0.23382133042831099</v>
      </c>
      <c r="U229">
        <v>3.5364325295813999E-3</v>
      </c>
      <c r="V229">
        <v>0.90794615718627902</v>
      </c>
      <c r="W229">
        <v>8.3579932836819401E-2</v>
      </c>
      <c r="X229">
        <v>0.48913924778992501</v>
      </c>
      <c r="Y229">
        <v>0.24988204406120701</v>
      </c>
      <c r="Z229">
        <v>0</v>
      </c>
      <c r="AA229">
        <v>0</v>
      </c>
      <c r="AB229">
        <v>71</v>
      </c>
    </row>
    <row r="230" spans="1:28" x14ac:dyDescent="0.25">
      <c r="A230">
        <v>1364</v>
      </c>
      <c r="B230" s="1">
        <v>45448</v>
      </c>
      <c r="C230" t="s">
        <v>523</v>
      </c>
      <c r="D230">
        <v>4.71</v>
      </c>
      <c r="E230">
        <v>905</v>
      </c>
      <c r="F230" t="s">
        <v>85</v>
      </c>
      <c r="G230" t="s">
        <v>524</v>
      </c>
      <c r="H230">
        <v>2011</v>
      </c>
      <c r="I230">
        <f>VLOOKUP(H230,Sheet1!H:AE,2)</f>
        <v>1</v>
      </c>
      <c r="J230" t="str">
        <f>VLOOKUP(H230,Sheet1!H:T,3,FALSE)</f>
        <v>30"</v>
      </c>
      <c r="K230">
        <f>VLOOKUP($H230,Sheet1!H:$AE,4,FALSE)</f>
        <v>75000</v>
      </c>
      <c r="L230" t="str">
        <f>VLOOKUP($H230,Sheet1!$H:$AE,5,FALSE)</f>
        <v>ETNA</v>
      </c>
      <c r="M230">
        <f>VLOOKUP($H230,Sheet1!$H:$AE,13,FALSE)</f>
        <v>676</v>
      </c>
      <c r="N230">
        <v>2308.78969872984</v>
      </c>
      <c r="O230">
        <v>1075526.1980141799</v>
      </c>
      <c r="P230">
        <v>16330.696301895299</v>
      </c>
      <c r="Q230">
        <v>14950290.141319299</v>
      </c>
      <c r="R230">
        <v>0.35467928725811698</v>
      </c>
      <c r="S230">
        <v>2.3373708965954399E-3</v>
      </c>
      <c r="T230">
        <v>0.223480966222626</v>
      </c>
      <c r="U230">
        <v>3.3575486544600301E-3</v>
      </c>
      <c r="V230">
        <v>0.97569768818831304</v>
      </c>
      <c r="W230">
        <v>2.37117094522558E-2</v>
      </c>
      <c r="X230">
        <v>0.51220437173476596</v>
      </c>
      <c r="Y230">
        <v>0.24985105331008201</v>
      </c>
      <c r="Z230">
        <v>0.10455132394219099</v>
      </c>
      <c r="AA230">
        <v>9.9505154427514996E-4</v>
      </c>
      <c r="AB230">
        <v>76</v>
      </c>
    </row>
    <row r="231" spans="1:28" x14ac:dyDescent="0.25">
      <c r="A231">
        <v>1365</v>
      </c>
      <c r="B231" s="1">
        <v>45448</v>
      </c>
      <c r="C231" t="s">
        <v>525</v>
      </c>
      <c r="D231">
        <v>4.71</v>
      </c>
      <c r="E231">
        <v>905</v>
      </c>
      <c r="F231" t="s">
        <v>88</v>
      </c>
      <c r="G231" t="s">
        <v>526</v>
      </c>
      <c r="H231">
        <v>3011</v>
      </c>
      <c r="I231">
        <f>VLOOKUP(H231,Sheet1!H:AE,2)</f>
        <v>1</v>
      </c>
      <c r="J231" t="str">
        <f>VLOOKUP(H231,Sheet1!H:T,3,FALSE)</f>
        <v>30"</v>
      </c>
      <c r="K231">
        <f>VLOOKUP($H231,Sheet1!H:$AE,4,FALSE)</f>
        <v>75000</v>
      </c>
      <c r="L231" t="str">
        <f>VLOOKUP($H231,Sheet1!$H:$AE,5,FALSE)</f>
        <v>Nautica</v>
      </c>
      <c r="M231">
        <f>VLOOKUP($H231,Sheet1!$H:$AE,13,FALSE)</f>
        <v>2167</v>
      </c>
      <c r="N231">
        <v>2598.51721555839</v>
      </c>
      <c r="O231">
        <v>1441178.6215876001</v>
      </c>
      <c r="P231">
        <v>16363.180502450101</v>
      </c>
      <c r="Q231">
        <v>13633734.287847299</v>
      </c>
      <c r="R231">
        <v>0.34970178514834899</v>
      </c>
      <c r="S231">
        <v>2.3700721626508901E-3</v>
      </c>
      <c r="T231">
        <v>0.222675891378777</v>
      </c>
      <c r="U231">
        <v>2.65420062078485E-3</v>
      </c>
      <c r="V231">
        <v>0.93959131041197896</v>
      </c>
      <c r="W231">
        <v>5.6759479810394697E-2</v>
      </c>
      <c r="X231">
        <v>0.40516170374148303</v>
      </c>
      <c r="Y231">
        <v>0.24100569756276299</v>
      </c>
      <c r="Z231">
        <v>9.4957034091235501E-2</v>
      </c>
      <c r="AA231">
        <v>8.4252624967331795E-4</v>
      </c>
      <c r="AB231">
        <v>68</v>
      </c>
    </row>
    <row r="232" spans="1:28" x14ac:dyDescent="0.25">
      <c r="A232">
        <v>1366</v>
      </c>
      <c r="B232" s="1">
        <v>45448</v>
      </c>
      <c r="C232" t="s">
        <v>527</v>
      </c>
      <c r="D232">
        <v>4.71</v>
      </c>
      <c r="E232">
        <v>905</v>
      </c>
      <c r="F232" t="s">
        <v>91</v>
      </c>
      <c r="G232" t="s">
        <v>528</v>
      </c>
      <c r="H232">
        <v>4011</v>
      </c>
      <c r="I232">
        <f>VLOOKUP(H232,Sheet1!H:AE,2)</f>
        <v>1</v>
      </c>
      <c r="J232" t="str">
        <f>VLOOKUP(H232,Sheet1!H:T,3,FALSE)</f>
        <v>30"</v>
      </c>
      <c r="K232">
        <f>VLOOKUP($H232,Sheet1!H:$AE,4,FALSE)</f>
        <v>75000</v>
      </c>
      <c r="L232" t="str">
        <f>VLOOKUP($H232,Sheet1!$H:$AE,5,FALSE)</f>
        <v>Red Rover</v>
      </c>
      <c r="M232">
        <f>VLOOKUP($H232,Sheet1!$H:$AE,13,FALSE)</f>
        <v>862</v>
      </c>
      <c r="N232">
        <v>2692.3665565602</v>
      </c>
      <c r="O232">
        <v>1528011.5328114701</v>
      </c>
      <c r="P232">
        <v>16849.656559154399</v>
      </c>
      <c r="Q232">
        <v>16732215.9069557</v>
      </c>
      <c r="R232">
        <v>0.35423875757397599</v>
      </c>
      <c r="S232">
        <v>2.4693354459495798E-3</v>
      </c>
      <c r="T232">
        <v>0.23007164545102199</v>
      </c>
      <c r="U232">
        <v>3.1228082603907102E-3</v>
      </c>
      <c r="V232">
        <v>0.97102631578947396</v>
      </c>
      <c r="W232">
        <v>2.8134209833785201E-2</v>
      </c>
      <c r="X232">
        <v>0.51833446670502603</v>
      </c>
      <c r="Y232">
        <v>0.249663847330377</v>
      </c>
      <c r="Z232">
        <v>9.0307155243878806E-2</v>
      </c>
      <c r="AA232">
        <v>9.5910824056944801E-4</v>
      </c>
      <c r="AB232">
        <v>72</v>
      </c>
    </row>
    <row r="233" spans="1:28" x14ac:dyDescent="0.25">
      <c r="A233">
        <v>1367</v>
      </c>
      <c r="B233" s="1">
        <v>45448</v>
      </c>
      <c r="C233" t="s">
        <v>529</v>
      </c>
      <c r="D233">
        <v>4.71</v>
      </c>
      <c r="E233">
        <v>905</v>
      </c>
      <c r="F233" t="s">
        <v>94</v>
      </c>
      <c r="G233" t="s">
        <v>530</v>
      </c>
      <c r="H233">
        <v>5011</v>
      </c>
      <c r="I233">
        <f>VLOOKUP(H233,Sheet1!H:AE,2)</f>
        <v>2</v>
      </c>
      <c r="J233" t="str">
        <f>VLOOKUP(H233,Sheet1!H:T,3,FALSE)</f>
        <v>30"</v>
      </c>
      <c r="K233">
        <f>VLOOKUP($H233,Sheet1!H:$AE,4,FALSE)</f>
        <v>75000</v>
      </c>
      <c r="L233" t="str">
        <f>VLOOKUP($H233,Sheet1!$H:$AE,5,FALSE)</f>
        <v>black bear</v>
      </c>
      <c r="M233">
        <f>VLOOKUP($H233,Sheet1!$H:$AE,13,FALSE)</f>
        <v>2224</v>
      </c>
      <c r="N233">
        <v>2725.7753952313301</v>
      </c>
      <c r="O233">
        <v>1312459.8960853899</v>
      </c>
      <c r="P233">
        <v>16674.2737342785</v>
      </c>
      <c r="Q233">
        <v>15603125.507946201</v>
      </c>
      <c r="R233">
        <v>0.35660427841329301</v>
      </c>
      <c r="S233">
        <v>2.62795627986174E-3</v>
      </c>
      <c r="T233">
        <v>0.23189694252823501</v>
      </c>
      <c r="U233">
        <v>3.0709840806894002E-3</v>
      </c>
      <c r="V233">
        <v>0.98838142607139601</v>
      </c>
      <c r="W233">
        <v>1.1483582668441E-2</v>
      </c>
      <c r="X233">
        <v>0.475068002301616</v>
      </c>
      <c r="Y233">
        <v>0.24937839549100399</v>
      </c>
      <c r="Z233">
        <v>8.5872909838574096E-2</v>
      </c>
      <c r="AA233">
        <v>8.7433742098954204E-4</v>
      </c>
      <c r="AB233">
        <v>66</v>
      </c>
    </row>
    <row r="234" spans="1:28" x14ac:dyDescent="0.25">
      <c r="A234">
        <v>1368</v>
      </c>
      <c r="B234" s="1">
        <v>45448</v>
      </c>
      <c r="C234" t="s">
        <v>531</v>
      </c>
      <c r="D234">
        <v>4.71</v>
      </c>
      <c r="E234">
        <v>905</v>
      </c>
      <c r="F234" t="s">
        <v>97</v>
      </c>
      <c r="G234" t="s">
        <v>532</v>
      </c>
      <c r="H234">
        <v>6011</v>
      </c>
      <c r="I234">
        <f>VLOOKUP(H234,Sheet1!H:AE,2)</f>
        <v>2</v>
      </c>
      <c r="J234" t="str">
        <f>VLOOKUP(H234,Sheet1!H:T,3,FALSE)</f>
        <v>30"</v>
      </c>
      <c r="K234">
        <f>VLOOKUP($H234,Sheet1!H:$AE,4,FALSE)</f>
        <v>75000</v>
      </c>
      <c r="L234" t="str">
        <f>VLOOKUP($H234,Sheet1!$H:$AE,5,FALSE)</f>
        <v>Merlot</v>
      </c>
      <c r="M234">
        <f>VLOOKUP($H234,Sheet1!$H:$AE,13,FALSE)</f>
        <v>1635</v>
      </c>
      <c r="N234">
        <v>2643.8345090135499</v>
      </c>
      <c r="O234">
        <v>1345118.06407786</v>
      </c>
      <c r="P234">
        <v>17195.5827136097</v>
      </c>
      <c r="Q234">
        <v>15606079.4877191</v>
      </c>
      <c r="R234">
        <v>0.34885416937047298</v>
      </c>
      <c r="S234">
        <v>2.3238072574215799E-3</v>
      </c>
      <c r="T234">
        <v>0.21864137507121301</v>
      </c>
      <c r="U234">
        <v>2.0323300133385201E-3</v>
      </c>
      <c r="V234">
        <v>0.87461842105263199</v>
      </c>
      <c r="W234">
        <v>0.109661038608022</v>
      </c>
      <c r="X234">
        <v>0.34652830904228499</v>
      </c>
      <c r="Y234">
        <v>0.226446440074942</v>
      </c>
      <c r="Z234">
        <v>9.0332477784697399E-2</v>
      </c>
      <c r="AA234">
        <v>1.02611903384868E-3</v>
      </c>
      <c r="AB234">
        <v>36</v>
      </c>
    </row>
    <row r="235" spans="1:28" x14ac:dyDescent="0.25">
      <c r="A235">
        <v>1369</v>
      </c>
      <c r="B235" s="1">
        <v>45448</v>
      </c>
      <c r="C235" t="s">
        <v>533</v>
      </c>
      <c r="D235">
        <v>4.71</v>
      </c>
      <c r="E235">
        <v>905</v>
      </c>
      <c r="F235" t="s">
        <v>100</v>
      </c>
      <c r="G235" t="s">
        <v>534</v>
      </c>
      <c r="H235">
        <v>7011</v>
      </c>
      <c r="I235">
        <f>VLOOKUP(H235,Sheet1!H:AE,2)</f>
        <v>2</v>
      </c>
      <c r="J235" t="str">
        <f>VLOOKUP(H235,Sheet1!H:T,3,FALSE)</f>
        <v>30"</v>
      </c>
      <c r="K235">
        <f>VLOOKUP($H235,Sheet1!H:$AE,4,FALSE)</f>
        <v>75000</v>
      </c>
      <c r="L235" t="str">
        <f>VLOOKUP($H235,Sheet1!$H:$AE,5,FALSE)</f>
        <v>Eclipse</v>
      </c>
      <c r="M235">
        <f>VLOOKUP($H235,Sheet1!$H:$AE,13,FALSE)</f>
        <v>2345</v>
      </c>
      <c r="N235">
        <v>2626.97009650578</v>
      </c>
      <c r="O235">
        <v>1471817.9694682001</v>
      </c>
      <c r="P235">
        <v>16891.593480085801</v>
      </c>
      <c r="Q235">
        <v>15385320.732942199</v>
      </c>
      <c r="R235">
        <v>0.34613860676406799</v>
      </c>
      <c r="S235">
        <v>2.72414439724717E-3</v>
      </c>
      <c r="T235">
        <v>0.22669374101972301</v>
      </c>
      <c r="U235">
        <v>3.0949151640655599E-3</v>
      </c>
      <c r="V235">
        <v>0.99681570567646505</v>
      </c>
      <c r="W235">
        <v>3.1741545931925899E-3</v>
      </c>
      <c r="X235">
        <v>0.42758783028305702</v>
      </c>
      <c r="Y235">
        <v>0.24475647767657299</v>
      </c>
      <c r="Z235">
        <v>9.3056265944980301E-2</v>
      </c>
      <c r="AA235">
        <v>9.3336123640364304E-4</v>
      </c>
      <c r="AB235">
        <v>93</v>
      </c>
    </row>
    <row r="236" spans="1:28" x14ac:dyDescent="0.25">
      <c r="A236">
        <v>1370</v>
      </c>
      <c r="B236" s="1">
        <v>45448</v>
      </c>
      <c r="C236" t="s">
        <v>535</v>
      </c>
      <c r="D236">
        <v>4.71</v>
      </c>
      <c r="E236">
        <v>905</v>
      </c>
      <c r="F236" t="s">
        <v>103</v>
      </c>
      <c r="G236" t="s">
        <v>536</v>
      </c>
      <c r="H236">
        <v>8011</v>
      </c>
      <c r="I236">
        <f>VLOOKUP(H236,Sheet1!H:AE,2)</f>
        <v>2</v>
      </c>
      <c r="J236" t="str">
        <f>VLOOKUP(H236,Sheet1!H:T,3,FALSE)</f>
        <v>30"</v>
      </c>
      <c r="K236">
        <f>VLOOKUP($H236,Sheet1!H:$AE,4,FALSE)</f>
        <v>75000</v>
      </c>
      <c r="L236" t="str">
        <f>VLOOKUP($H236,Sheet1!$H:$AE,5,FALSE)</f>
        <v>Ronnies red</v>
      </c>
      <c r="M236">
        <f>VLOOKUP($H236,Sheet1!$H:$AE,13,FALSE)</f>
        <v>1503</v>
      </c>
      <c r="N236">
        <v>2611.0325420597401</v>
      </c>
      <c r="O236">
        <v>2358563.5459834998</v>
      </c>
      <c r="P236">
        <v>16938.612836821401</v>
      </c>
      <c r="Q236">
        <v>17166301.2914728</v>
      </c>
      <c r="R236">
        <v>0.32499902788736601</v>
      </c>
      <c r="S236">
        <v>3.1184460256420301E-3</v>
      </c>
      <c r="T236">
        <v>0.23015326057089</v>
      </c>
      <c r="U236">
        <v>3.3094162712413301E-3</v>
      </c>
      <c r="V236">
        <v>0.98948684210526305</v>
      </c>
      <c r="W236">
        <v>1.04026314058177E-2</v>
      </c>
      <c r="X236">
        <v>0.57463530734877699</v>
      </c>
      <c r="Y236">
        <v>0.244429570896535</v>
      </c>
      <c r="Z236">
        <v>9.6373351045459299E-2</v>
      </c>
      <c r="AA236">
        <v>9.1612187112057898E-4</v>
      </c>
      <c r="AB236">
        <v>63</v>
      </c>
    </row>
    <row r="237" spans="1:28" x14ac:dyDescent="0.25">
      <c r="A237">
        <v>1371</v>
      </c>
      <c r="B237" s="1">
        <v>45448</v>
      </c>
      <c r="C237" t="s">
        <v>537</v>
      </c>
      <c r="D237">
        <v>4.71</v>
      </c>
      <c r="E237">
        <v>905</v>
      </c>
      <c r="F237" t="s">
        <v>106</v>
      </c>
      <c r="G237" t="s">
        <v>538</v>
      </c>
      <c r="H237">
        <v>9011</v>
      </c>
      <c r="I237">
        <f>VLOOKUP(H237,Sheet1!H:AE,2)</f>
        <v>2</v>
      </c>
      <c r="J237" t="str">
        <f>VLOOKUP(H237,Sheet1!H:T,3,FALSE)</f>
        <v>30"</v>
      </c>
      <c r="K237">
        <f>VLOOKUP($H237,Sheet1!H:$AE,4,FALSE)</f>
        <v>75000</v>
      </c>
      <c r="L237" t="str">
        <f>VLOOKUP($H237,Sheet1!$H:$AE,5,FALSE)</f>
        <v>Zorro</v>
      </c>
      <c r="M237">
        <f>VLOOKUP($H237,Sheet1!$H:$AE,13,FALSE)</f>
        <v>1594</v>
      </c>
      <c r="N237">
        <v>2589.9275476927</v>
      </c>
      <c r="O237">
        <v>1462856.4565545099</v>
      </c>
      <c r="P237">
        <v>16961.273073499098</v>
      </c>
      <c r="Q237">
        <v>15544241.0636795</v>
      </c>
      <c r="R237">
        <v>0.35790252353455798</v>
      </c>
      <c r="S237">
        <v>2.5648749304760499E-3</v>
      </c>
      <c r="T237">
        <v>0.224985713326845</v>
      </c>
      <c r="U237">
        <v>2.3605131107489398E-3</v>
      </c>
      <c r="V237">
        <v>0.76070366569300796</v>
      </c>
      <c r="W237">
        <v>0.18203359869394101</v>
      </c>
      <c r="X237">
        <v>0.345761271128257</v>
      </c>
      <c r="Y237">
        <v>0.22621041451607099</v>
      </c>
      <c r="Z237">
        <v>0.10209411788841601</v>
      </c>
      <c r="AA237">
        <v>8.5563714117808899E-4</v>
      </c>
      <c r="AB237">
        <v>39</v>
      </c>
    </row>
    <row r="238" spans="1:28" x14ac:dyDescent="0.25">
      <c r="A238">
        <v>1372</v>
      </c>
      <c r="B238" s="1">
        <v>45448</v>
      </c>
      <c r="C238" t="s">
        <v>539</v>
      </c>
      <c r="D238">
        <v>4.71</v>
      </c>
      <c r="E238">
        <v>905</v>
      </c>
      <c r="F238" t="s">
        <v>109</v>
      </c>
      <c r="G238" t="s">
        <v>540</v>
      </c>
      <c r="H238">
        <v>10011</v>
      </c>
      <c r="I238">
        <f>VLOOKUP(H238,Sheet1!H:AE,2)</f>
        <v>3</v>
      </c>
      <c r="J238" t="str">
        <f>VLOOKUP(H238,Sheet1!H:T,3,FALSE)</f>
        <v>30"</v>
      </c>
      <c r="K238">
        <f>VLOOKUP($H238,Sheet1!H:$AE,4,FALSE)</f>
        <v>75000</v>
      </c>
      <c r="L238" t="str">
        <f>VLOOKUP($H238,Sheet1!$H:$AE,5,FALSE)</f>
        <v>CLERK</v>
      </c>
      <c r="M238">
        <f>VLOOKUP($H238,Sheet1!$H:$AE,13,FALSE)</f>
        <v>1069</v>
      </c>
      <c r="N238">
        <v>2553.6801405237402</v>
      </c>
      <c r="O238">
        <v>1618440.62053344</v>
      </c>
      <c r="P238">
        <v>16687.924029953301</v>
      </c>
      <c r="Q238">
        <v>17105734.601845499</v>
      </c>
      <c r="R238">
        <v>0.38578664598131202</v>
      </c>
      <c r="S238">
        <v>2.7534883161333501E-3</v>
      </c>
      <c r="T238">
        <v>0.239568618817629</v>
      </c>
      <c r="U238">
        <v>3.0470912785227101E-3</v>
      </c>
      <c r="V238">
        <v>0.97184173475966795</v>
      </c>
      <c r="W238">
        <v>2.73653773389405E-2</v>
      </c>
      <c r="X238">
        <v>0.52375441349548801</v>
      </c>
      <c r="Y238">
        <v>0.24943572783937701</v>
      </c>
      <c r="Z238">
        <v>7.7678776515304901E-2</v>
      </c>
      <c r="AA238">
        <v>1.12397102936487E-3</v>
      </c>
      <c r="AB238">
        <v>62</v>
      </c>
    </row>
    <row r="239" spans="1:28" x14ac:dyDescent="0.25">
      <c r="A239">
        <v>1373</v>
      </c>
      <c r="B239" s="1">
        <v>45448</v>
      </c>
      <c r="C239" t="s">
        <v>541</v>
      </c>
      <c r="D239">
        <v>4.71</v>
      </c>
      <c r="E239">
        <v>905</v>
      </c>
      <c r="F239" t="s">
        <v>112</v>
      </c>
      <c r="G239" t="s">
        <v>542</v>
      </c>
      <c r="H239">
        <v>11011</v>
      </c>
      <c r="I239">
        <f>VLOOKUP(H239,Sheet1!H:AE,2)</f>
        <v>3</v>
      </c>
      <c r="J239" t="str">
        <f>VLOOKUP(H239,Sheet1!H:T,3,FALSE)</f>
        <v>30"</v>
      </c>
      <c r="K239">
        <f>VLOOKUP($H239,Sheet1!H:$AE,4,FALSE)</f>
        <v>75000</v>
      </c>
      <c r="L239" t="str">
        <f>VLOOKUP($H239,Sheet1!$H:$AE,5,FALSE)</f>
        <v>Red Dawn</v>
      </c>
      <c r="M239">
        <f>VLOOKUP($H239,Sheet1!$H:$AE,13,FALSE)</f>
        <v>440</v>
      </c>
      <c r="N239">
        <v>2724.5207706411702</v>
      </c>
      <c r="O239">
        <v>2137191.02152539</v>
      </c>
      <c r="P239">
        <v>16975.178074890599</v>
      </c>
      <c r="Q239">
        <v>16266961.124160601</v>
      </c>
      <c r="R239">
        <v>0.36308748671817298</v>
      </c>
      <c r="S239">
        <v>2.2637618201574701E-3</v>
      </c>
      <c r="T239">
        <v>0.22440953681005801</v>
      </c>
      <c r="U239">
        <v>2.9490930827937001E-3</v>
      </c>
      <c r="V239">
        <v>0.98127606942196599</v>
      </c>
      <c r="W239">
        <v>1.8373345001800601E-2</v>
      </c>
      <c r="X239">
        <v>0.40556303861695497</v>
      </c>
      <c r="Y239">
        <v>0.241081660323997</v>
      </c>
      <c r="Z239">
        <v>0.116475845461096</v>
      </c>
      <c r="AA239">
        <v>8.8454664812347703E-4</v>
      </c>
      <c r="AB239">
        <v>56</v>
      </c>
    </row>
    <row r="240" spans="1:28" x14ac:dyDescent="0.25">
      <c r="A240">
        <v>1374</v>
      </c>
      <c r="B240" s="1">
        <v>45448</v>
      </c>
      <c r="C240" t="s">
        <v>543</v>
      </c>
      <c r="D240">
        <v>4.71</v>
      </c>
      <c r="E240">
        <v>905</v>
      </c>
      <c r="F240" t="s">
        <v>115</v>
      </c>
      <c r="G240" t="s">
        <v>544</v>
      </c>
      <c r="H240">
        <v>12011</v>
      </c>
      <c r="I240">
        <f>VLOOKUP(H240,Sheet1!H:AE,2)</f>
        <v>3</v>
      </c>
      <c r="J240" t="str">
        <f>VLOOKUP(H240,Sheet1!H:T,3,FALSE)</f>
        <v>30"</v>
      </c>
      <c r="K240">
        <f>VLOOKUP($H240,Sheet1!H:$AE,4,FALSE)</f>
        <v>75000</v>
      </c>
      <c r="L240" t="str">
        <f>VLOOKUP($H240,Sheet1!$H:$AE,5,FALSE)</f>
        <v>T9905</v>
      </c>
      <c r="M240">
        <f>VLOOKUP($H240,Sheet1!$H:$AE,13,FALSE)</f>
        <v>2038</v>
      </c>
      <c r="N240">
        <v>2680.20649017097</v>
      </c>
      <c r="O240">
        <v>1327761.9014598599</v>
      </c>
      <c r="P240">
        <v>17183.8437115507</v>
      </c>
      <c r="Q240">
        <v>14309452.913577201</v>
      </c>
      <c r="R240">
        <v>0.35656789719541099</v>
      </c>
      <c r="S240">
        <v>2.3476439156508498E-3</v>
      </c>
      <c r="T240">
        <v>0.21725739531760799</v>
      </c>
      <c r="U240">
        <v>2.3269774467183902E-3</v>
      </c>
      <c r="V240">
        <v>0.96039577905844598</v>
      </c>
      <c r="W240">
        <v>3.8035726625179303E-2</v>
      </c>
      <c r="X240">
        <v>0.44258457675659402</v>
      </c>
      <c r="Y240">
        <v>0.24670346917340499</v>
      </c>
      <c r="Z240">
        <v>0.101541433721954</v>
      </c>
      <c r="AA240">
        <v>8.1137284474565199E-4</v>
      </c>
      <c r="AB240">
        <v>54</v>
      </c>
    </row>
    <row r="241" spans="1:28" x14ac:dyDescent="0.25">
      <c r="A241">
        <v>1375</v>
      </c>
      <c r="B241" s="1">
        <v>45448</v>
      </c>
      <c r="C241" t="s">
        <v>545</v>
      </c>
      <c r="D241">
        <v>4.71</v>
      </c>
      <c r="E241">
        <v>905</v>
      </c>
      <c r="F241" t="s">
        <v>118</v>
      </c>
      <c r="G241" t="s">
        <v>546</v>
      </c>
      <c r="H241">
        <v>13011</v>
      </c>
      <c r="I241">
        <f>VLOOKUP(H241,Sheet1!H:AE,2)</f>
        <v>3</v>
      </c>
      <c r="J241" t="str">
        <f>VLOOKUP(H241,Sheet1!H:T,3,FALSE)</f>
        <v>30"</v>
      </c>
      <c r="K241">
        <f>VLOOKUP($H241,Sheet1!H:$AE,4,FALSE)</f>
        <v>75000</v>
      </c>
      <c r="L241" t="str">
        <f>VLOOKUP($H241,Sheet1!$H:$AE,5,FALSE)</f>
        <v>Cayenne</v>
      </c>
      <c r="M241">
        <f>VLOOKUP($H241,Sheet1!$H:$AE,13,FALSE)</f>
        <v>2394</v>
      </c>
      <c r="N241">
        <v>2623.7576052346099</v>
      </c>
      <c r="O241">
        <v>1105705.6784154701</v>
      </c>
      <c r="P241">
        <v>16700.3783380061</v>
      </c>
      <c r="Q241">
        <v>14357890.5093296</v>
      </c>
      <c r="R241">
        <v>0.3509748964155</v>
      </c>
      <c r="S241">
        <v>2.4408330558916501E-3</v>
      </c>
      <c r="T241">
        <v>0.21902704058876099</v>
      </c>
      <c r="U241">
        <v>2.7164739145530601E-3</v>
      </c>
      <c r="V241">
        <v>0.97449966446926894</v>
      </c>
      <c r="W241">
        <v>2.48500684185483E-2</v>
      </c>
      <c r="X241">
        <v>0.43968352568084401</v>
      </c>
      <c r="Y241">
        <v>0.24636192292558001</v>
      </c>
      <c r="Z241">
        <v>9.5402987883894702E-2</v>
      </c>
      <c r="AA241">
        <v>9.2225132117191796E-4</v>
      </c>
      <c r="AB241">
        <v>70</v>
      </c>
    </row>
    <row r="242" spans="1:28" x14ac:dyDescent="0.25">
      <c r="A242">
        <v>1376</v>
      </c>
      <c r="B242" s="1">
        <v>45448</v>
      </c>
      <c r="C242" t="s">
        <v>547</v>
      </c>
      <c r="D242">
        <v>4.71</v>
      </c>
      <c r="E242">
        <v>905</v>
      </c>
      <c r="F242" t="s">
        <v>121</v>
      </c>
      <c r="G242" t="s">
        <v>548</v>
      </c>
      <c r="H242">
        <v>14011</v>
      </c>
      <c r="I242">
        <f>VLOOKUP(H242,Sheet1!H:AE,2)</f>
        <v>3</v>
      </c>
      <c r="J242" t="str">
        <f>VLOOKUP(H242,Sheet1!H:T,3,FALSE)</f>
        <v>30"</v>
      </c>
      <c r="K242">
        <f>VLOOKUP($H242,Sheet1!H:$AE,4,FALSE)</f>
        <v>75000</v>
      </c>
      <c r="L242" t="str">
        <f>VLOOKUP($H242,Sheet1!$H:$AE,5,FALSE)</f>
        <v>Apex</v>
      </c>
      <c r="M242">
        <f>VLOOKUP($H242,Sheet1!$H:$AE,13,FALSE)</f>
        <v>1800</v>
      </c>
      <c r="N242">
        <v>2682.4625768932001</v>
      </c>
      <c r="O242">
        <v>1691830.6176868901</v>
      </c>
      <c r="P242">
        <v>16498.342896333899</v>
      </c>
      <c r="Q242">
        <v>16851644.042229399</v>
      </c>
      <c r="R242">
        <v>0.37735215374657699</v>
      </c>
      <c r="S242">
        <v>2.8586940131453001E-3</v>
      </c>
      <c r="T242">
        <v>0.24471232901131901</v>
      </c>
      <c r="U242">
        <v>3.1697765451373199E-3</v>
      </c>
      <c r="V242">
        <v>0.96443467849107201</v>
      </c>
      <c r="W242">
        <v>3.4300429415083197E-2</v>
      </c>
      <c r="X242">
        <v>0.39431803321564002</v>
      </c>
      <c r="Y242">
        <v>0.23883132189657699</v>
      </c>
      <c r="Z242">
        <v>0.100795516765079</v>
      </c>
      <c r="AA242">
        <v>1.1483676572164199E-3</v>
      </c>
      <c r="AB242">
        <v>76</v>
      </c>
    </row>
    <row r="243" spans="1:28" x14ac:dyDescent="0.25">
      <c r="A243">
        <v>1377</v>
      </c>
      <c r="B243" s="1">
        <v>45448</v>
      </c>
      <c r="C243" t="s">
        <v>549</v>
      </c>
      <c r="D243">
        <v>4.71</v>
      </c>
      <c r="E243">
        <v>905</v>
      </c>
      <c r="F243" t="s">
        <v>124</v>
      </c>
      <c r="G243" t="s">
        <v>550</v>
      </c>
      <c r="H243">
        <v>15011</v>
      </c>
      <c r="I243">
        <f>VLOOKUP(H243,Sheet1!H:AE,2)</f>
        <v>3</v>
      </c>
      <c r="J243" t="str">
        <f>VLOOKUP(H243,Sheet1!H:T,3,FALSE)</f>
        <v>30"</v>
      </c>
      <c r="K243">
        <f>VLOOKUP($H243,Sheet1!H:$AE,4,FALSE)</f>
        <v>75000</v>
      </c>
      <c r="L243" t="str">
        <f>VLOOKUP($H243,Sheet1!$H:$AE,5,FALSE)</f>
        <v>Windbreaker</v>
      </c>
      <c r="M243">
        <f>VLOOKUP($H243,Sheet1!$H:$AE,13,FALSE)</f>
        <v>1855</v>
      </c>
      <c r="N243">
        <v>2414.1011946001599</v>
      </c>
      <c r="O243">
        <v>1441727.7857468601</v>
      </c>
      <c r="P243">
        <v>15990.903509244101</v>
      </c>
      <c r="Q243">
        <v>16411188.5726422</v>
      </c>
      <c r="R243">
        <v>0.38092210244845898</v>
      </c>
      <c r="S243">
        <v>2.1644038889534101E-3</v>
      </c>
      <c r="T243">
        <v>0.24190248540300399</v>
      </c>
      <c r="U243">
        <v>2.6356617178157102E-3</v>
      </c>
      <c r="V243">
        <v>0.99830263157894705</v>
      </c>
      <c r="W243">
        <v>1.69448736149343E-3</v>
      </c>
      <c r="X243">
        <v>0.54431679232081998</v>
      </c>
      <c r="Y243">
        <v>0.24803602191833901</v>
      </c>
      <c r="Z243">
        <v>8.4192931908469798E-2</v>
      </c>
      <c r="AA243">
        <v>2.9695728572760498E-3</v>
      </c>
      <c r="AB243">
        <v>62</v>
      </c>
    </row>
    <row r="244" spans="1:28" x14ac:dyDescent="0.25">
      <c r="A244">
        <v>1378</v>
      </c>
      <c r="B244" s="1">
        <v>45448</v>
      </c>
      <c r="C244" t="s">
        <v>551</v>
      </c>
      <c r="D244">
        <v>4.71</v>
      </c>
      <c r="E244">
        <v>905</v>
      </c>
      <c r="F244" t="s">
        <v>24</v>
      </c>
      <c r="G244" t="s">
        <v>552</v>
      </c>
      <c r="H244">
        <v>15012</v>
      </c>
      <c r="I244">
        <f>VLOOKUP(H244,Sheet1!H:AE,2)</f>
        <v>3</v>
      </c>
      <c r="J244" t="str">
        <f>VLOOKUP(H244,Sheet1!H:T,3,FALSE)</f>
        <v>30"</v>
      </c>
      <c r="K244">
        <f>VLOOKUP($H244,Sheet1!H:$AE,4,FALSE)</f>
        <v>150000</v>
      </c>
      <c r="L244" t="str">
        <f>VLOOKUP($H244,Sheet1!$H:$AE,5,FALSE)</f>
        <v>Merlot</v>
      </c>
      <c r="M244">
        <f>VLOOKUP($H244,Sheet1!$H:$AE,13,FALSE)</f>
        <v>1759</v>
      </c>
      <c r="N244">
        <v>2336.9215782328201</v>
      </c>
      <c r="O244">
        <v>1218155.9061346599</v>
      </c>
      <c r="P244">
        <v>16169.888198790401</v>
      </c>
      <c r="Q244">
        <v>18652639.386601601</v>
      </c>
      <c r="R244">
        <v>0.383857804377147</v>
      </c>
      <c r="S244">
        <v>2.4757641168042799E-3</v>
      </c>
      <c r="T244">
        <v>0.244037365559128</v>
      </c>
      <c r="U244">
        <v>2.6323114277370602E-3</v>
      </c>
      <c r="V244">
        <v>0.95281516862063997</v>
      </c>
      <c r="W244">
        <v>4.4958423067048899E-2</v>
      </c>
      <c r="X244">
        <v>0.50285740440445603</v>
      </c>
      <c r="Y244">
        <v>0.24999183523972901</v>
      </c>
      <c r="Z244">
        <v>8.4192931908469798E-2</v>
      </c>
      <c r="AA244">
        <v>2.9695728572760498E-3</v>
      </c>
      <c r="AB244">
        <v>57</v>
      </c>
    </row>
    <row r="245" spans="1:28" x14ac:dyDescent="0.25">
      <c r="A245">
        <v>1379</v>
      </c>
      <c r="B245" s="1">
        <v>45448</v>
      </c>
      <c r="C245" t="s">
        <v>553</v>
      </c>
      <c r="D245">
        <v>4.71</v>
      </c>
      <c r="E245">
        <v>905</v>
      </c>
      <c r="F245" t="s">
        <v>28</v>
      </c>
      <c r="G245" t="s">
        <v>554</v>
      </c>
      <c r="H245">
        <v>14012</v>
      </c>
      <c r="I245">
        <f>VLOOKUP(H245,Sheet1!H:AE,2)</f>
        <v>3</v>
      </c>
      <c r="J245" t="str">
        <f>VLOOKUP(H245,Sheet1!H:T,3,FALSE)</f>
        <v>30"</v>
      </c>
      <c r="K245">
        <f>VLOOKUP($H245,Sheet1!H:$AE,4,FALSE)</f>
        <v>150000</v>
      </c>
      <c r="L245" t="str">
        <f>VLOOKUP($H245,Sheet1!$H:$AE,5,FALSE)</f>
        <v>Cayenne</v>
      </c>
      <c r="M245">
        <f>VLOOKUP($H245,Sheet1!$H:$AE,13,FALSE)</f>
        <v>2713</v>
      </c>
      <c r="N245">
        <v>2699.1459253297899</v>
      </c>
      <c r="O245">
        <v>1334788.61381552</v>
      </c>
      <c r="P245">
        <v>16024.3644188449</v>
      </c>
      <c r="Q245">
        <v>18984962.016810801</v>
      </c>
      <c r="R245">
        <v>0.37077799850285598</v>
      </c>
      <c r="S245">
        <v>3.6888662897880601E-3</v>
      </c>
      <c r="T245">
        <v>0.24640356024728199</v>
      </c>
      <c r="U245">
        <v>5.2981649664295902E-3</v>
      </c>
      <c r="V245">
        <v>0.99722368421052598</v>
      </c>
      <c r="W245">
        <v>2.7686078601121301E-3</v>
      </c>
      <c r="X245">
        <v>0.50732995932886005</v>
      </c>
      <c r="Y245">
        <v>0.249946271696186</v>
      </c>
      <c r="Z245">
        <v>0.100795516765079</v>
      </c>
      <c r="AA245">
        <v>1.1483676572164199E-3</v>
      </c>
      <c r="AB245">
        <v>86</v>
      </c>
    </row>
    <row r="246" spans="1:28" x14ac:dyDescent="0.25">
      <c r="A246">
        <v>1380</v>
      </c>
      <c r="B246" s="1">
        <v>45448</v>
      </c>
      <c r="C246" t="s">
        <v>555</v>
      </c>
      <c r="D246">
        <v>4.71</v>
      </c>
      <c r="E246">
        <v>905</v>
      </c>
      <c r="F246" t="s">
        <v>32</v>
      </c>
      <c r="G246" t="s">
        <v>556</v>
      </c>
      <c r="H246">
        <v>13012</v>
      </c>
      <c r="I246">
        <f>VLOOKUP(H246,Sheet1!H:AE,2)</f>
        <v>3</v>
      </c>
      <c r="J246" t="str">
        <f>VLOOKUP(H246,Sheet1!H:T,3,FALSE)</f>
        <v>30"</v>
      </c>
      <c r="K246">
        <f>VLOOKUP($H246,Sheet1!H:$AE,4,FALSE)</f>
        <v>150000</v>
      </c>
      <c r="L246" t="str">
        <f>VLOOKUP($H246,Sheet1!$H:$AE,5,FALSE)</f>
        <v>Apex</v>
      </c>
      <c r="M246">
        <f>VLOOKUP($H246,Sheet1!$H:$AE,13,FALSE)</f>
        <v>3019</v>
      </c>
      <c r="N246">
        <v>2969.74460610387</v>
      </c>
      <c r="O246">
        <v>3170673.2794163702</v>
      </c>
      <c r="P246">
        <v>16461.6591537532</v>
      </c>
      <c r="Q246">
        <v>19170227.0321404</v>
      </c>
      <c r="R246">
        <v>0.35745180145133498</v>
      </c>
      <c r="S246">
        <v>3.3088548462408001E-3</v>
      </c>
      <c r="T246">
        <v>0.229823130148889</v>
      </c>
      <c r="U246">
        <v>5.7721484852406597E-3</v>
      </c>
      <c r="V246">
        <v>0.99840787378781304</v>
      </c>
      <c r="W246">
        <v>1.58959134631068E-3</v>
      </c>
      <c r="X246">
        <v>0.57697714715401904</v>
      </c>
      <c r="Y246">
        <v>0.24407451881624601</v>
      </c>
      <c r="Z246">
        <v>0.103874357476333</v>
      </c>
      <c r="AA246">
        <v>1.07566446606724E-3</v>
      </c>
      <c r="AB246">
        <v>81</v>
      </c>
    </row>
    <row r="247" spans="1:28" x14ac:dyDescent="0.25">
      <c r="A247">
        <v>1381</v>
      </c>
      <c r="B247" s="1">
        <v>45448</v>
      </c>
      <c r="C247" t="s">
        <v>557</v>
      </c>
      <c r="D247">
        <v>4.71</v>
      </c>
      <c r="E247">
        <v>905</v>
      </c>
      <c r="F247" t="s">
        <v>36</v>
      </c>
      <c r="G247" t="s">
        <v>558</v>
      </c>
      <c r="H247">
        <v>12012</v>
      </c>
      <c r="I247">
        <f>VLOOKUP(H247,Sheet1!H:AE,2)</f>
        <v>3</v>
      </c>
      <c r="J247" t="str">
        <f>VLOOKUP(H247,Sheet1!H:T,3,FALSE)</f>
        <v>30"</v>
      </c>
      <c r="K247">
        <f>VLOOKUP($H247,Sheet1!H:$AE,4,FALSE)</f>
        <v>150000</v>
      </c>
      <c r="L247" t="str">
        <f>VLOOKUP($H247,Sheet1!$H:$AE,5,FALSE)</f>
        <v>Red Rover</v>
      </c>
      <c r="M247">
        <f>VLOOKUP($H247,Sheet1!$H:$AE,13,FALSE)</f>
        <v>1240</v>
      </c>
      <c r="N247">
        <v>2851.9972637251099</v>
      </c>
      <c r="O247">
        <v>2486318.6807790599</v>
      </c>
      <c r="P247">
        <v>16707.300322105399</v>
      </c>
      <c r="Q247">
        <v>21297329.6967819</v>
      </c>
      <c r="R247">
        <v>0.37028090831354699</v>
      </c>
      <c r="S247">
        <v>4.2823269635016304E-3</v>
      </c>
      <c r="T247">
        <v>0.239867398545308</v>
      </c>
      <c r="U247">
        <v>7.9822479509030399E-3</v>
      </c>
      <c r="V247">
        <v>0.99919735785997199</v>
      </c>
      <c r="W247">
        <v>8.0199790562314E-4</v>
      </c>
      <c r="X247">
        <v>0.70985902599780304</v>
      </c>
      <c r="Y247">
        <v>0.205959189206604</v>
      </c>
      <c r="Z247">
        <v>0.101541433721954</v>
      </c>
      <c r="AA247">
        <v>8.1137284474565199E-4</v>
      </c>
      <c r="AB247">
        <v>73</v>
      </c>
    </row>
    <row r="248" spans="1:28" x14ac:dyDescent="0.25">
      <c r="A248">
        <v>1382</v>
      </c>
      <c r="B248" s="1">
        <v>45448</v>
      </c>
      <c r="C248" t="s">
        <v>559</v>
      </c>
      <c r="D248">
        <v>4.71</v>
      </c>
      <c r="E248">
        <v>905</v>
      </c>
      <c r="F248" t="s">
        <v>40</v>
      </c>
      <c r="G248" t="s">
        <v>560</v>
      </c>
      <c r="H248">
        <v>11012</v>
      </c>
      <c r="I248">
        <f>VLOOKUP(H248,Sheet1!H:AE,2)</f>
        <v>3</v>
      </c>
      <c r="J248" t="str">
        <f>VLOOKUP(H248,Sheet1!H:T,3,FALSE)</f>
        <v>30"</v>
      </c>
      <c r="K248">
        <f>VLOOKUP($H248,Sheet1!H:$AE,4,FALSE)</f>
        <v>150000</v>
      </c>
      <c r="L248" t="str">
        <f>VLOOKUP($H248,Sheet1!$H:$AE,5,FALSE)</f>
        <v>ETNA</v>
      </c>
      <c r="M248">
        <f>VLOOKUP($H248,Sheet1!$H:$AE,13,FALSE)</f>
        <v>1075</v>
      </c>
      <c r="N248">
        <v>2744.48720712146</v>
      </c>
      <c r="O248">
        <v>1784738.07995978</v>
      </c>
      <c r="P248">
        <v>16836.489047070801</v>
      </c>
      <c r="Q248">
        <v>19520437.807293199</v>
      </c>
      <c r="R248">
        <v>0.36791209557187199</v>
      </c>
      <c r="S248">
        <v>3.2803091229897099E-3</v>
      </c>
      <c r="T248">
        <v>0.233544686682674</v>
      </c>
      <c r="U248">
        <v>5.0778018740823402E-3</v>
      </c>
      <c r="V248">
        <v>0.97709210526315804</v>
      </c>
      <c r="W248">
        <v>2.2383123095568901E-2</v>
      </c>
      <c r="X248">
        <v>0.57358816260077505</v>
      </c>
      <c r="Y248">
        <v>0.24458478232547101</v>
      </c>
      <c r="Z248">
        <v>0.116475845461096</v>
      </c>
      <c r="AA248">
        <v>8.8454664812347703E-4</v>
      </c>
      <c r="AB248">
        <v>64</v>
      </c>
    </row>
    <row r="249" spans="1:28" x14ac:dyDescent="0.25">
      <c r="A249">
        <v>1383</v>
      </c>
      <c r="B249" s="1">
        <v>45448</v>
      </c>
      <c r="C249" t="s">
        <v>561</v>
      </c>
      <c r="D249">
        <v>4.71</v>
      </c>
      <c r="E249">
        <v>905</v>
      </c>
      <c r="F249" t="s">
        <v>44</v>
      </c>
      <c r="G249" t="s">
        <v>562</v>
      </c>
      <c r="H249">
        <v>10012</v>
      </c>
      <c r="I249">
        <f>VLOOKUP(H249,Sheet1!H:AE,2)</f>
        <v>3</v>
      </c>
      <c r="J249" t="str">
        <f>VLOOKUP(H249,Sheet1!H:T,3,FALSE)</f>
        <v>30"</v>
      </c>
      <c r="K249">
        <f>VLOOKUP($H249,Sheet1!H:$AE,4,FALSE)</f>
        <v>150000</v>
      </c>
      <c r="L249" t="str">
        <f>VLOOKUP($H249,Sheet1!$H:$AE,5,FALSE)</f>
        <v>Zorro</v>
      </c>
      <c r="M249">
        <f>VLOOKUP($H249,Sheet1!$H:$AE,13,FALSE)</f>
        <v>2880</v>
      </c>
      <c r="N249">
        <v>2715.72438696674</v>
      </c>
      <c r="O249">
        <v>3355349.29147946</v>
      </c>
      <c r="P249">
        <v>16121.624315916901</v>
      </c>
      <c r="Q249">
        <v>23118997.355616301</v>
      </c>
      <c r="R249">
        <v>0.39539030245392698</v>
      </c>
      <c r="S249">
        <v>3.9895719779927501E-3</v>
      </c>
      <c r="T249">
        <v>0.26224253771397499</v>
      </c>
      <c r="U249">
        <v>7.2118028007663003E-3</v>
      </c>
      <c r="V249">
        <v>0.97821081301561796</v>
      </c>
      <c r="W249">
        <v>2.13144183149282E-2</v>
      </c>
      <c r="X249">
        <v>0.68101926321158102</v>
      </c>
      <c r="Y249">
        <v>0.21723202634677</v>
      </c>
      <c r="Z249">
        <v>7.7678776515304901E-2</v>
      </c>
      <c r="AA249">
        <v>1.12397102936487E-3</v>
      </c>
      <c r="AB249">
        <v>75</v>
      </c>
    </row>
    <row r="250" spans="1:28" x14ac:dyDescent="0.25">
      <c r="A250">
        <v>1384</v>
      </c>
      <c r="B250" s="1">
        <v>45448</v>
      </c>
      <c r="C250" t="s">
        <v>563</v>
      </c>
      <c r="D250">
        <v>4.71</v>
      </c>
      <c r="E250">
        <v>905</v>
      </c>
      <c r="F250" t="s">
        <v>48</v>
      </c>
      <c r="G250" t="s">
        <v>564</v>
      </c>
      <c r="H250">
        <v>9012</v>
      </c>
      <c r="I250">
        <f>VLOOKUP(H250,Sheet1!H:AE,2)</f>
        <v>3</v>
      </c>
      <c r="J250" t="str">
        <f>VLOOKUP(H250,Sheet1!H:T,3,FALSE)</f>
        <v>30"</v>
      </c>
      <c r="K250">
        <f>VLOOKUP($H250,Sheet1!H:$AE,4,FALSE)</f>
        <v>150000</v>
      </c>
      <c r="L250" t="str">
        <f>VLOOKUP($H250,Sheet1!$H:$AE,5,FALSE)</f>
        <v>T9905</v>
      </c>
      <c r="M250">
        <f>VLOOKUP($H250,Sheet1!$H:$AE,13,FALSE)</f>
        <v>2503</v>
      </c>
      <c r="N250">
        <v>2690.2986290441099</v>
      </c>
      <c r="O250">
        <v>1624820.0504497399</v>
      </c>
      <c r="P250">
        <v>16669.0736190102</v>
      </c>
      <c r="Q250">
        <v>17627603.009174</v>
      </c>
      <c r="R250">
        <v>0.35776117472760199</v>
      </c>
      <c r="S250">
        <v>2.9240427146923599E-3</v>
      </c>
      <c r="T250">
        <v>0.22699601083215701</v>
      </c>
      <c r="U250">
        <v>3.5740292856979599E-3</v>
      </c>
      <c r="V250">
        <v>0.86392105263157903</v>
      </c>
      <c r="W250">
        <v>0.117561467451629</v>
      </c>
      <c r="X250">
        <v>0.42643702962657798</v>
      </c>
      <c r="Y250">
        <v>0.24458848939005801</v>
      </c>
      <c r="Z250">
        <v>0.10209411788841601</v>
      </c>
      <c r="AA250">
        <v>8.5563714117808899E-4</v>
      </c>
      <c r="AB250">
        <v>66</v>
      </c>
    </row>
    <row r="251" spans="1:28" x14ac:dyDescent="0.25">
      <c r="A251">
        <v>1385</v>
      </c>
      <c r="B251" s="1">
        <v>45448</v>
      </c>
      <c r="C251" t="s">
        <v>565</v>
      </c>
      <c r="D251">
        <v>4.71</v>
      </c>
      <c r="E251">
        <v>905</v>
      </c>
      <c r="F251" t="s">
        <v>52</v>
      </c>
      <c r="G251" t="s">
        <v>566</v>
      </c>
      <c r="H251">
        <v>8012</v>
      </c>
      <c r="I251">
        <f>VLOOKUP(H251,Sheet1!H:AE,2)</f>
        <v>2</v>
      </c>
      <c r="J251" t="str">
        <f>VLOOKUP(H251,Sheet1!H:T,3,FALSE)</f>
        <v>30"</v>
      </c>
      <c r="K251">
        <f>VLOOKUP($H251,Sheet1!H:$AE,4,FALSE)</f>
        <v>150000</v>
      </c>
      <c r="L251" t="str">
        <f>VLOOKUP($H251,Sheet1!$H:$AE,5,FALSE)</f>
        <v>Nautica</v>
      </c>
      <c r="M251">
        <f>VLOOKUP($H251,Sheet1!$H:$AE,13,FALSE)</f>
        <v>2694</v>
      </c>
      <c r="N251">
        <v>2827.0608068861802</v>
      </c>
      <c r="O251">
        <v>3115295.22710136</v>
      </c>
      <c r="P251">
        <v>16862.971324839498</v>
      </c>
      <c r="Q251">
        <v>19499440.460096098</v>
      </c>
      <c r="R251">
        <v>0.33926739860383398</v>
      </c>
      <c r="S251">
        <v>3.4096253854872002E-3</v>
      </c>
      <c r="T251">
        <v>0.23371831423612999</v>
      </c>
      <c r="U251">
        <v>4.4870127490834102E-3</v>
      </c>
      <c r="V251">
        <v>0.998105288088315</v>
      </c>
      <c r="W251">
        <v>1.89112197845497E-3</v>
      </c>
      <c r="X251">
        <v>0.64688728038342502</v>
      </c>
      <c r="Y251">
        <v>0.228424126861279</v>
      </c>
      <c r="Z251">
        <v>9.6373351045459299E-2</v>
      </c>
      <c r="AA251">
        <v>9.1612187112057898E-4</v>
      </c>
      <c r="AB251">
        <v>109</v>
      </c>
    </row>
    <row r="252" spans="1:28" x14ac:dyDescent="0.25">
      <c r="A252">
        <v>1386</v>
      </c>
      <c r="B252" s="1">
        <v>45448</v>
      </c>
      <c r="C252" t="s">
        <v>567</v>
      </c>
      <c r="D252">
        <v>4.71</v>
      </c>
      <c r="E252">
        <v>905</v>
      </c>
      <c r="F252" t="s">
        <v>56</v>
      </c>
      <c r="G252" t="s">
        <v>568</v>
      </c>
      <c r="H252">
        <v>7012</v>
      </c>
      <c r="I252">
        <f>VLOOKUP(H252,Sheet1!H:AE,2)</f>
        <v>2</v>
      </c>
      <c r="J252" t="str">
        <f>VLOOKUP(H252,Sheet1!H:T,3,FALSE)</f>
        <v>30"</v>
      </c>
      <c r="K252">
        <f>VLOOKUP($H252,Sheet1!H:$AE,4,FALSE)</f>
        <v>150000</v>
      </c>
      <c r="L252" t="str">
        <f>VLOOKUP($H252,Sheet1!$H:$AE,5,FALSE)</f>
        <v>black bear</v>
      </c>
      <c r="M252">
        <f>VLOOKUP($H252,Sheet1!$H:$AE,13,FALSE)</f>
        <v>3133</v>
      </c>
      <c r="N252">
        <v>2699.1607124112102</v>
      </c>
      <c r="O252">
        <v>1651148.40092542</v>
      </c>
      <c r="P252">
        <v>16449.925600772</v>
      </c>
      <c r="Q252">
        <v>19389058.418091901</v>
      </c>
      <c r="R252">
        <v>0.36488994844767197</v>
      </c>
      <c r="S252">
        <v>3.9217295337918697E-3</v>
      </c>
      <c r="T252">
        <v>0.24352221588061701</v>
      </c>
      <c r="U252">
        <v>6.1182008732235896E-3</v>
      </c>
      <c r="V252">
        <v>0.99998684227839096</v>
      </c>
      <c r="W252" s="2">
        <v>1.31575484832755E-5</v>
      </c>
      <c r="X252">
        <v>0.53466201106359601</v>
      </c>
      <c r="Y252">
        <v>0.24879854498891801</v>
      </c>
      <c r="Z252">
        <v>9.3056265944980301E-2</v>
      </c>
      <c r="AA252">
        <v>9.3336123640364304E-4</v>
      </c>
      <c r="AB252">
        <v>118</v>
      </c>
    </row>
    <row r="253" spans="1:28" x14ac:dyDescent="0.25">
      <c r="A253">
        <v>1387</v>
      </c>
      <c r="B253" s="1">
        <v>45448</v>
      </c>
      <c r="C253" t="s">
        <v>569</v>
      </c>
      <c r="D253">
        <v>4.71</v>
      </c>
      <c r="E253">
        <v>905</v>
      </c>
      <c r="F253" t="s">
        <v>60</v>
      </c>
      <c r="G253" t="s">
        <v>570</v>
      </c>
      <c r="H253">
        <v>6012</v>
      </c>
      <c r="I253">
        <f>VLOOKUP(H253,Sheet1!H:AE,2)</f>
        <v>2</v>
      </c>
      <c r="J253" t="str">
        <f>VLOOKUP(H253,Sheet1!H:T,3,FALSE)</f>
        <v>30"</v>
      </c>
      <c r="K253">
        <f>VLOOKUP($H253,Sheet1!H:$AE,4,FALSE)</f>
        <v>150000</v>
      </c>
      <c r="L253" t="str">
        <f>VLOOKUP($H253,Sheet1!$H:$AE,5,FALSE)</f>
        <v>Red Dawn</v>
      </c>
      <c r="M253">
        <f>VLOOKUP($H253,Sheet1!$H:$AE,13,FALSE)</f>
        <v>987</v>
      </c>
      <c r="N253">
        <v>2806.0095735300301</v>
      </c>
      <c r="O253">
        <v>3012382.4240828902</v>
      </c>
      <c r="P253">
        <v>16484.664891901601</v>
      </c>
      <c r="Q253">
        <v>20475395.0894536</v>
      </c>
      <c r="R253">
        <v>0.35982666875607</v>
      </c>
      <c r="S253">
        <v>3.39701524319342E-3</v>
      </c>
      <c r="T253">
        <v>0.238104285657048</v>
      </c>
      <c r="U253">
        <v>6.2564404728726502E-3</v>
      </c>
      <c r="V253">
        <v>0.99986842451514402</v>
      </c>
      <c r="W253">
        <v>1.3155817274814699E-4</v>
      </c>
      <c r="X253">
        <v>0.49270282994193598</v>
      </c>
      <c r="Y253">
        <v>0.24994675130925501</v>
      </c>
      <c r="Z253">
        <v>9.0332477784697399E-2</v>
      </c>
      <c r="AA253">
        <v>1.02611903384868E-3</v>
      </c>
      <c r="AB253">
        <v>75</v>
      </c>
    </row>
    <row r="254" spans="1:28" x14ac:dyDescent="0.25">
      <c r="A254">
        <v>1388</v>
      </c>
      <c r="B254" s="1">
        <v>45448</v>
      </c>
      <c r="C254" t="s">
        <v>571</v>
      </c>
      <c r="D254">
        <v>4.71</v>
      </c>
      <c r="E254">
        <v>905</v>
      </c>
      <c r="F254" t="s">
        <v>64</v>
      </c>
      <c r="G254" t="s">
        <v>572</v>
      </c>
      <c r="H254">
        <v>5012</v>
      </c>
      <c r="I254">
        <f>VLOOKUP(H254,Sheet1!H:AE,2)</f>
        <v>2</v>
      </c>
      <c r="J254" t="str">
        <f>VLOOKUP(H254,Sheet1!H:T,3,FALSE)</f>
        <v>30"</v>
      </c>
      <c r="K254">
        <f>VLOOKUP($H254,Sheet1!H:$AE,4,FALSE)</f>
        <v>150000</v>
      </c>
      <c r="L254" t="str">
        <f>VLOOKUP($H254,Sheet1!$H:$AE,5,FALSE)</f>
        <v>Redhawk</v>
      </c>
      <c r="M254">
        <f>VLOOKUP($H254,Sheet1!$H:$AE,13,FALSE)</f>
        <v>1113</v>
      </c>
      <c r="N254">
        <v>2889.99245599916</v>
      </c>
      <c r="O254">
        <v>1828683.4367603001</v>
      </c>
      <c r="P254">
        <v>16756.163318552401</v>
      </c>
      <c r="Q254">
        <v>17436711.397465698</v>
      </c>
      <c r="R254">
        <v>0.36075011132504398</v>
      </c>
      <c r="S254">
        <v>2.9475683999067E-3</v>
      </c>
      <c r="T254">
        <v>0.23635732000836701</v>
      </c>
      <c r="U254">
        <v>4.0586578987527001E-3</v>
      </c>
      <c r="V254">
        <v>0.99763154778352303</v>
      </c>
      <c r="W254">
        <v>2.3628426505763801E-3</v>
      </c>
      <c r="X254">
        <v>0.57673421081883303</v>
      </c>
      <c r="Y254">
        <v>0.244111860889585</v>
      </c>
      <c r="Z254">
        <v>8.5872909838574096E-2</v>
      </c>
      <c r="AA254">
        <v>8.7433742098954204E-4</v>
      </c>
      <c r="AB254">
        <v>73</v>
      </c>
    </row>
    <row r="255" spans="1:28" x14ac:dyDescent="0.25">
      <c r="A255">
        <v>1389</v>
      </c>
      <c r="B255" s="1">
        <v>45448</v>
      </c>
      <c r="C255" t="s">
        <v>573</v>
      </c>
      <c r="D255">
        <v>4.71</v>
      </c>
      <c r="E255">
        <v>905</v>
      </c>
      <c r="F255" t="s">
        <v>68</v>
      </c>
      <c r="G255" t="s">
        <v>574</v>
      </c>
      <c r="H255">
        <v>4012</v>
      </c>
      <c r="I255">
        <f>VLOOKUP(H255,Sheet1!H:AE,2)</f>
        <v>1</v>
      </c>
      <c r="J255" t="str">
        <f>VLOOKUP(H255,Sheet1!H:T,3,FALSE)</f>
        <v>30"</v>
      </c>
      <c r="K255">
        <f>VLOOKUP($H255,Sheet1!H:$AE,4,FALSE)</f>
        <v>150000</v>
      </c>
      <c r="L255" t="str">
        <f>VLOOKUP($H255,Sheet1!$H:$AE,5,FALSE)</f>
        <v>CLERK</v>
      </c>
      <c r="M255">
        <f>VLOOKUP($H255,Sheet1!$H:$AE,13,FALSE)</f>
        <v>1454</v>
      </c>
      <c r="N255">
        <v>2850.2505773510402</v>
      </c>
      <c r="O255">
        <v>3185422.9735735902</v>
      </c>
      <c r="P255">
        <v>16245.1238858828</v>
      </c>
      <c r="Q255">
        <v>21355448.8720062</v>
      </c>
      <c r="R255">
        <v>0.36311558242795899</v>
      </c>
      <c r="S255">
        <v>3.1672894810773899E-3</v>
      </c>
      <c r="T255">
        <v>0.243692337801106</v>
      </c>
      <c r="U255">
        <v>6.04463335006816E-3</v>
      </c>
      <c r="V255">
        <v>0.998802631578947</v>
      </c>
      <c r="W255">
        <v>1.1959347299199E-3</v>
      </c>
      <c r="X255">
        <v>0.68055918815713701</v>
      </c>
      <c r="Y255">
        <v>0.217398379571694</v>
      </c>
      <c r="Z255">
        <v>9.0307155243878806E-2</v>
      </c>
      <c r="AA255">
        <v>9.5910824056944801E-4</v>
      </c>
      <c r="AB255">
        <v>70</v>
      </c>
    </row>
    <row r="256" spans="1:28" x14ac:dyDescent="0.25">
      <c r="A256">
        <v>1390</v>
      </c>
      <c r="B256" s="1">
        <v>45448</v>
      </c>
      <c r="C256" t="s">
        <v>575</v>
      </c>
      <c r="D256">
        <v>4.71</v>
      </c>
      <c r="E256">
        <v>905</v>
      </c>
      <c r="F256" t="s">
        <v>72</v>
      </c>
      <c r="G256" t="s">
        <v>576</v>
      </c>
      <c r="H256">
        <v>3012</v>
      </c>
      <c r="I256">
        <f>VLOOKUP(H256,Sheet1!H:AE,2)</f>
        <v>1</v>
      </c>
      <c r="J256" t="str">
        <f>VLOOKUP(H256,Sheet1!H:T,3,FALSE)</f>
        <v>30"</v>
      </c>
      <c r="K256">
        <f>VLOOKUP($H256,Sheet1!H:$AE,4,FALSE)</f>
        <v>150000</v>
      </c>
      <c r="L256" t="str">
        <f>VLOOKUP($H256,Sheet1!$H:$AE,5,FALSE)</f>
        <v>Windbreaker</v>
      </c>
      <c r="M256">
        <f>VLOOKUP($H256,Sheet1!$H:$AE,13,FALSE)</f>
        <v>2098</v>
      </c>
      <c r="N256">
        <v>2731.9447274864901</v>
      </c>
      <c r="O256">
        <v>2820395.65499443</v>
      </c>
      <c r="P256">
        <v>15782.838640886501</v>
      </c>
      <c r="Q256">
        <v>19502742.1552338</v>
      </c>
      <c r="R256">
        <v>0.36525630586328101</v>
      </c>
      <c r="S256">
        <v>3.7795116696246601E-3</v>
      </c>
      <c r="T256">
        <v>0.24346520250075901</v>
      </c>
      <c r="U256">
        <v>7.4719154282043903E-3</v>
      </c>
      <c r="V256">
        <v>0.99832894736842104</v>
      </c>
      <c r="W256">
        <v>1.66826021467728E-3</v>
      </c>
      <c r="X256">
        <v>0.74431134592247705</v>
      </c>
      <c r="Y256">
        <v>0.19031196625366001</v>
      </c>
      <c r="Z256">
        <v>9.4957034091235501E-2</v>
      </c>
      <c r="AA256">
        <v>8.4252624967331795E-4</v>
      </c>
      <c r="AB256">
        <v>84</v>
      </c>
    </row>
    <row r="257" spans="1:28" x14ac:dyDescent="0.25">
      <c r="A257">
        <v>1391</v>
      </c>
      <c r="B257" s="1">
        <v>45448</v>
      </c>
      <c r="C257" t="s">
        <v>577</v>
      </c>
      <c r="D257">
        <v>4.71</v>
      </c>
      <c r="E257">
        <v>905</v>
      </c>
      <c r="F257" t="s">
        <v>76</v>
      </c>
      <c r="G257" t="s">
        <v>578</v>
      </c>
      <c r="H257">
        <v>2012</v>
      </c>
      <c r="I257">
        <f>VLOOKUP(H257,Sheet1!H:AE,2)</f>
        <v>1</v>
      </c>
      <c r="J257" t="str">
        <f>VLOOKUP(H257,Sheet1!H:T,3,FALSE)</f>
        <v>30"</v>
      </c>
      <c r="K257">
        <f>VLOOKUP($H257,Sheet1!H:$AE,4,FALSE)</f>
        <v>150000</v>
      </c>
      <c r="L257" t="str">
        <f>VLOOKUP($H257,Sheet1!$H:$AE,5,FALSE)</f>
        <v>Eclipse</v>
      </c>
      <c r="M257">
        <f>VLOOKUP($H257,Sheet1!$H:$AE,13,FALSE)</f>
        <v>2586</v>
      </c>
      <c r="N257">
        <v>2429.00338008062</v>
      </c>
      <c r="O257">
        <v>1400542.5879756699</v>
      </c>
      <c r="P257">
        <v>15676.732817100001</v>
      </c>
      <c r="Q257">
        <v>17135354.669226099</v>
      </c>
      <c r="R257">
        <v>0.36351780633705899</v>
      </c>
      <c r="S257">
        <v>3.8212127677175098E-3</v>
      </c>
      <c r="T257">
        <v>0.23846800555734499</v>
      </c>
      <c r="U257">
        <v>6.1561673196877604E-3</v>
      </c>
      <c r="V257">
        <v>1</v>
      </c>
      <c r="W257">
        <v>0</v>
      </c>
      <c r="X257">
        <v>0.51045841806210301</v>
      </c>
      <c r="Y257">
        <v>0.24989062149159899</v>
      </c>
      <c r="Z257">
        <v>0.10455132394219099</v>
      </c>
      <c r="AA257">
        <v>9.9505154427514996E-4</v>
      </c>
      <c r="AB257">
        <v>98</v>
      </c>
    </row>
    <row r="258" spans="1:28" x14ac:dyDescent="0.25">
      <c r="A258">
        <v>1392</v>
      </c>
      <c r="B258" s="1">
        <v>45448</v>
      </c>
      <c r="C258" t="s">
        <v>579</v>
      </c>
      <c r="D258">
        <v>4.71</v>
      </c>
      <c r="E258">
        <v>905</v>
      </c>
      <c r="F258" t="s">
        <v>79</v>
      </c>
      <c r="G258" t="s">
        <v>580</v>
      </c>
      <c r="H258">
        <v>1012</v>
      </c>
      <c r="I258">
        <f>VLOOKUP(H258,Sheet1!H:AE,2)</f>
        <v>1</v>
      </c>
      <c r="J258" t="str">
        <f>VLOOKUP(H258,Sheet1!H:T,3,FALSE)</f>
        <v>30"</v>
      </c>
      <c r="K258">
        <f>VLOOKUP($H258,Sheet1!H:$AE,4,FALSE)</f>
        <v>150000</v>
      </c>
      <c r="L258" t="str">
        <f>VLOOKUP($H258,Sheet1!$H:$AE,5,FALSE)</f>
        <v>Ronnies red</v>
      </c>
      <c r="M258">
        <f>VLOOKUP($H258,Sheet1!$H:$AE,13,FALSE)</f>
        <v>1081</v>
      </c>
      <c r="N258">
        <v>2430.3622876018298</v>
      </c>
      <c r="O258">
        <v>2672459.7884913101</v>
      </c>
      <c r="P258">
        <v>15920.0972094478</v>
      </c>
      <c r="Q258">
        <v>16913268.701274201</v>
      </c>
      <c r="R258">
        <v>0.38017119257160098</v>
      </c>
      <c r="S258">
        <v>2.8351806908797901E-3</v>
      </c>
      <c r="T258">
        <v>0.242774055646372</v>
      </c>
      <c r="U258">
        <v>5.1561966241664798E-3</v>
      </c>
      <c r="V258">
        <v>0.99707894736842095</v>
      </c>
      <c r="W258">
        <v>2.91252008308992E-3</v>
      </c>
      <c r="X258">
        <v>0.48323797691829801</v>
      </c>
      <c r="Y258">
        <v>0.249719034582296</v>
      </c>
      <c r="Z258">
        <v>0</v>
      </c>
      <c r="AA258">
        <v>0</v>
      </c>
      <c r="AB258">
        <v>71</v>
      </c>
    </row>
    <row r="259" spans="1:28" x14ac:dyDescent="0.25">
      <c r="A259">
        <v>1393</v>
      </c>
      <c r="B259" s="1">
        <v>45448</v>
      </c>
      <c r="C259" t="s">
        <v>581</v>
      </c>
      <c r="D259">
        <v>4.71</v>
      </c>
      <c r="E259">
        <v>905</v>
      </c>
      <c r="F259" t="s">
        <v>24</v>
      </c>
      <c r="G259" t="s">
        <v>582</v>
      </c>
      <c r="H259">
        <v>15016</v>
      </c>
      <c r="I259">
        <f>VLOOKUP(H259,Sheet1!H:AE,2)</f>
        <v>3</v>
      </c>
      <c r="J259" t="str">
        <f>VLOOKUP(H259,Sheet1!H:T,3,FALSE)</f>
        <v>30"</v>
      </c>
      <c r="K259">
        <f>VLOOKUP($H259,Sheet1!H:$AE,4,FALSE)</f>
        <v>100000</v>
      </c>
      <c r="L259" t="str">
        <f>VLOOKUP($H259,Sheet1!$H:$AE,5,FALSE)</f>
        <v>Eclipse</v>
      </c>
      <c r="M259">
        <f>VLOOKUP($H259,Sheet1!$H:$AE,13,FALSE)</f>
        <v>2732</v>
      </c>
      <c r="N259">
        <v>2369.9979915181898</v>
      </c>
      <c r="O259">
        <v>1687556.63727256</v>
      </c>
      <c r="P259">
        <v>16476.8241963459</v>
      </c>
      <c r="Q259">
        <v>21184543.715336598</v>
      </c>
      <c r="R259">
        <v>0.39234439196487603</v>
      </c>
      <c r="S259">
        <v>2.8131854279222599E-3</v>
      </c>
      <c r="T259">
        <v>0.25010927142988498</v>
      </c>
      <c r="U259">
        <v>3.5035428063337E-3</v>
      </c>
      <c r="V259">
        <v>0.99924999999999997</v>
      </c>
      <c r="W259">
        <v>7.4943749999972201E-4</v>
      </c>
      <c r="X259">
        <v>0.37508255033118199</v>
      </c>
      <c r="Y259">
        <v>0.23439563076828601</v>
      </c>
      <c r="Z259">
        <v>8.4192931908469798E-2</v>
      </c>
      <c r="AA259">
        <v>2.9695728572760498E-3</v>
      </c>
      <c r="AB259">
        <v>106</v>
      </c>
    </row>
    <row r="260" spans="1:28" x14ac:dyDescent="0.25">
      <c r="A260">
        <v>1394</v>
      </c>
      <c r="B260" s="1">
        <v>45448</v>
      </c>
      <c r="C260" t="s">
        <v>583</v>
      </c>
      <c r="D260">
        <v>4.71</v>
      </c>
      <c r="E260">
        <v>905</v>
      </c>
      <c r="F260" t="s">
        <v>28</v>
      </c>
      <c r="G260" t="s">
        <v>584</v>
      </c>
      <c r="H260">
        <v>14016</v>
      </c>
      <c r="I260">
        <f>VLOOKUP(H260,Sheet1!H:AE,2)</f>
        <v>3</v>
      </c>
      <c r="J260" t="str">
        <f>VLOOKUP(H260,Sheet1!H:T,3,FALSE)</f>
        <v>30"</v>
      </c>
      <c r="K260">
        <f>VLOOKUP($H260,Sheet1!H:$AE,4,FALSE)</f>
        <v>100000</v>
      </c>
      <c r="L260" t="str">
        <f>VLOOKUP($H260,Sheet1!$H:$AE,5,FALSE)</f>
        <v>T9905</v>
      </c>
      <c r="M260">
        <f>VLOOKUP($H260,Sheet1!$H:$AE,13,FALSE)</f>
        <v>2699</v>
      </c>
      <c r="N260">
        <v>2646.3475047763</v>
      </c>
      <c r="O260">
        <v>1656111.2398389201</v>
      </c>
      <c r="P260">
        <v>16473.4446374053</v>
      </c>
      <c r="Q260">
        <v>18790275.452787299</v>
      </c>
      <c r="R260">
        <v>0.37415951946794801</v>
      </c>
      <c r="S260">
        <v>2.7415402632908099E-3</v>
      </c>
      <c r="T260">
        <v>0.23929481732046501</v>
      </c>
      <c r="U260">
        <v>2.8585095419428799E-3</v>
      </c>
      <c r="V260">
        <v>0.99644732167528505</v>
      </c>
      <c r="W260">
        <v>3.5400568014410999E-3</v>
      </c>
      <c r="X260">
        <v>0.33916369699545501</v>
      </c>
      <c r="Y260">
        <v>0.22413168363612099</v>
      </c>
      <c r="Z260">
        <v>0.100795516765079</v>
      </c>
      <c r="AA260">
        <v>1.1483676572164199E-3</v>
      </c>
      <c r="AB260">
        <v>72</v>
      </c>
    </row>
    <row r="261" spans="1:28" x14ac:dyDescent="0.25">
      <c r="A261">
        <v>1395</v>
      </c>
      <c r="B261" s="1">
        <v>45448</v>
      </c>
      <c r="C261" t="s">
        <v>585</v>
      </c>
      <c r="D261">
        <v>4.71</v>
      </c>
      <c r="E261">
        <v>905</v>
      </c>
      <c r="F261" t="s">
        <v>32</v>
      </c>
      <c r="G261" t="s">
        <v>586</v>
      </c>
      <c r="H261">
        <v>13016</v>
      </c>
      <c r="I261">
        <f>VLOOKUP(H261,Sheet1!H:AE,2)</f>
        <v>3</v>
      </c>
      <c r="J261" t="str">
        <f>VLOOKUP(H261,Sheet1!H:T,3,FALSE)</f>
        <v>30"</v>
      </c>
      <c r="K261">
        <f>VLOOKUP($H261,Sheet1!H:$AE,4,FALSE)</f>
        <v>100000</v>
      </c>
      <c r="L261" t="str">
        <f>VLOOKUP($H261,Sheet1!$H:$AE,5,FALSE)</f>
        <v>Merlot</v>
      </c>
      <c r="M261">
        <f>VLOOKUP($H261,Sheet1!$H:$AE,13,FALSE)</f>
        <v>1902</v>
      </c>
      <c r="N261">
        <v>2561.49729521677</v>
      </c>
      <c r="O261">
        <v>1103180.09079887</v>
      </c>
      <c r="P261">
        <v>16960.904299480499</v>
      </c>
      <c r="Q261">
        <v>14701053.646097001</v>
      </c>
      <c r="R261">
        <v>0.35574414978989599</v>
      </c>
      <c r="S261">
        <v>2.13886434140349E-3</v>
      </c>
      <c r="T261">
        <v>0.22036341591453301</v>
      </c>
      <c r="U261">
        <v>1.8231618347162701E-3</v>
      </c>
      <c r="V261">
        <v>0.90465538566804404</v>
      </c>
      <c r="W261">
        <v>8.6254018849849304E-2</v>
      </c>
      <c r="X261">
        <v>0.26032941668791698</v>
      </c>
      <c r="Y261">
        <v>0.192558011494705</v>
      </c>
      <c r="Z261">
        <v>0.103874357476333</v>
      </c>
      <c r="AA261">
        <v>1.07566446606724E-3</v>
      </c>
      <c r="AB261">
        <v>48</v>
      </c>
    </row>
    <row r="262" spans="1:28" x14ac:dyDescent="0.25">
      <c r="A262">
        <v>1396</v>
      </c>
      <c r="B262" s="1">
        <v>45448</v>
      </c>
      <c r="C262" t="s">
        <v>587</v>
      </c>
      <c r="D262">
        <v>4.71</v>
      </c>
      <c r="E262">
        <v>905</v>
      </c>
      <c r="F262" t="s">
        <v>36</v>
      </c>
      <c r="G262" t="s">
        <v>588</v>
      </c>
      <c r="H262">
        <v>12016</v>
      </c>
      <c r="I262">
        <f>VLOOKUP(H262,Sheet1!H:AE,2)</f>
        <v>3</v>
      </c>
      <c r="J262" t="str">
        <f>VLOOKUP(H262,Sheet1!H:T,3,FALSE)</f>
        <v>30"</v>
      </c>
      <c r="K262">
        <f>VLOOKUP($H262,Sheet1!H:$AE,4,FALSE)</f>
        <v>100000</v>
      </c>
      <c r="L262" t="str">
        <f>VLOOKUP($H262,Sheet1!$H:$AE,5,FALSE)</f>
        <v>Windbreaker</v>
      </c>
      <c r="M262">
        <f>VLOOKUP($H262,Sheet1!$H:$AE,13,FALSE)</f>
        <v>1854</v>
      </c>
      <c r="N262">
        <v>2713.4471115154502</v>
      </c>
      <c r="O262">
        <v>2095569.7799646</v>
      </c>
      <c r="P262">
        <v>16642.793222198201</v>
      </c>
      <c r="Q262">
        <v>17664747.125929799</v>
      </c>
      <c r="R262">
        <v>0.36939256192979503</v>
      </c>
      <c r="S262">
        <v>2.8160167590759802E-3</v>
      </c>
      <c r="T262">
        <v>0.23339813553702901</v>
      </c>
      <c r="U262">
        <v>4.4557468511969402E-3</v>
      </c>
      <c r="V262">
        <v>0.99847366412715999</v>
      </c>
      <c r="W262">
        <v>1.5240061716446499E-3</v>
      </c>
      <c r="X262">
        <v>0.52188809771343703</v>
      </c>
      <c r="Y262">
        <v>0.249520911178372</v>
      </c>
      <c r="Z262">
        <v>0.101541433721954</v>
      </c>
      <c r="AA262">
        <v>8.1137284474565199E-4</v>
      </c>
      <c r="AB262">
        <v>79</v>
      </c>
    </row>
    <row r="263" spans="1:28" x14ac:dyDescent="0.25">
      <c r="A263">
        <v>1397</v>
      </c>
      <c r="B263" s="1">
        <v>45448</v>
      </c>
      <c r="C263" t="s">
        <v>589</v>
      </c>
      <c r="D263">
        <v>4.71</v>
      </c>
      <c r="E263">
        <v>905</v>
      </c>
      <c r="F263" t="s">
        <v>40</v>
      </c>
      <c r="G263" t="s">
        <v>590</v>
      </c>
      <c r="H263">
        <v>11016</v>
      </c>
      <c r="I263">
        <f>VLOOKUP(H263,Sheet1!H:AE,2)</f>
        <v>3</v>
      </c>
      <c r="J263" t="str">
        <f>VLOOKUP(H263,Sheet1!H:T,3,FALSE)</f>
        <v>30"</v>
      </c>
      <c r="K263">
        <f>VLOOKUP($H263,Sheet1!H:$AE,4,FALSE)</f>
        <v>100000</v>
      </c>
      <c r="L263" t="str">
        <f>VLOOKUP($H263,Sheet1!$H:$AE,5,FALSE)</f>
        <v>Zorro</v>
      </c>
      <c r="M263">
        <f>VLOOKUP($H263,Sheet1!$H:$AE,13,FALSE)</f>
        <v>2551</v>
      </c>
      <c r="N263">
        <v>2591.0156899519902</v>
      </c>
      <c r="O263">
        <v>1483830.24737793</v>
      </c>
      <c r="P263">
        <v>16870.357872336801</v>
      </c>
      <c r="Q263">
        <v>16055448.280795701</v>
      </c>
      <c r="R263">
        <v>0.35404493235826301</v>
      </c>
      <c r="S263">
        <v>2.2795000424552301E-3</v>
      </c>
      <c r="T263">
        <v>0.22151826215148701</v>
      </c>
      <c r="U263">
        <v>2.6555470458569201E-3</v>
      </c>
      <c r="V263">
        <v>0.91790897488190903</v>
      </c>
      <c r="W263">
        <v>7.5352088713127402E-2</v>
      </c>
      <c r="X263">
        <v>0.31356048569018602</v>
      </c>
      <c r="Y263">
        <v>0.21524030750332601</v>
      </c>
      <c r="Z263">
        <v>0.116475845461096</v>
      </c>
      <c r="AA263">
        <v>8.8454664812347703E-4</v>
      </c>
      <c r="AB263">
        <v>61</v>
      </c>
    </row>
    <row r="264" spans="1:28" x14ac:dyDescent="0.25">
      <c r="A264">
        <v>1398</v>
      </c>
      <c r="B264" s="1">
        <v>45448</v>
      </c>
      <c r="C264" t="s">
        <v>591</v>
      </c>
      <c r="D264">
        <v>4.71</v>
      </c>
      <c r="E264">
        <v>905</v>
      </c>
      <c r="F264" t="s">
        <v>44</v>
      </c>
      <c r="G264" t="s">
        <v>592</v>
      </c>
      <c r="H264">
        <v>10016</v>
      </c>
      <c r="I264">
        <f>VLOOKUP(H264,Sheet1!H:AE,2)</f>
        <v>3</v>
      </c>
      <c r="J264" t="str">
        <f>VLOOKUP(H264,Sheet1!H:T,3,FALSE)</f>
        <v>30"</v>
      </c>
      <c r="K264">
        <f>VLOOKUP($H264,Sheet1!H:$AE,4,FALSE)</f>
        <v>100000</v>
      </c>
      <c r="L264" t="str">
        <f>VLOOKUP($H264,Sheet1!$H:$AE,5,FALSE)</f>
        <v>Red Dawn</v>
      </c>
      <c r="M264">
        <f>VLOOKUP($H264,Sheet1!$H:$AE,13,FALSE)</f>
        <v>516</v>
      </c>
      <c r="N264">
        <v>2655.7212218762002</v>
      </c>
      <c r="O264">
        <v>2079172.2689288601</v>
      </c>
      <c r="P264">
        <v>16659.7926984238</v>
      </c>
      <c r="Q264">
        <v>19212756.308761001</v>
      </c>
      <c r="R264">
        <v>0.37261198343062402</v>
      </c>
      <c r="S264">
        <v>2.9959018363356999E-3</v>
      </c>
      <c r="T264">
        <v>0.24269719810216001</v>
      </c>
      <c r="U264">
        <v>3.9645568881127701E-3</v>
      </c>
      <c r="V264">
        <v>0.99946053341403396</v>
      </c>
      <c r="W264">
        <v>5.3917556176918296E-4</v>
      </c>
      <c r="X264">
        <v>0.33223264785693202</v>
      </c>
      <c r="Y264">
        <v>0.22185411555499801</v>
      </c>
      <c r="Z264">
        <v>7.7678776515304901E-2</v>
      </c>
      <c r="AA264">
        <v>1.12397102936487E-3</v>
      </c>
      <c r="AB264">
        <v>90</v>
      </c>
    </row>
    <row r="265" spans="1:28" x14ac:dyDescent="0.25">
      <c r="A265">
        <v>1399</v>
      </c>
      <c r="B265" s="1">
        <v>45448</v>
      </c>
      <c r="C265" t="s">
        <v>593</v>
      </c>
      <c r="D265">
        <v>4.71</v>
      </c>
      <c r="E265">
        <v>905</v>
      </c>
      <c r="F265" t="s">
        <v>48</v>
      </c>
      <c r="G265" t="s">
        <v>594</v>
      </c>
      <c r="H265">
        <v>9016</v>
      </c>
      <c r="I265">
        <f>VLOOKUP(H265,Sheet1!H:AE,2)</f>
        <v>3</v>
      </c>
      <c r="J265" t="str">
        <f>VLOOKUP(H265,Sheet1!H:T,3,FALSE)</f>
        <v>30"</v>
      </c>
      <c r="K265">
        <f>VLOOKUP($H265,Sheet1!H:$AE,4,FALSE)</f>
        <v>100000</v>
      </c>
      <c r="L265" t="str">
        <f>VLOOKUP($H265,Sheet1!$H:$AE,5,FALSE)</f>
        <v>Ronnies red</v>
      </c>
      <c r="M265">
        <f>VLOOKUP($H265,Sheet1!$H:$AE,13,FALSE)</f>
        <v>933</v>
      </c>
      <c r="N265">
        <v>2804.2746371436201</v>
      </c>
      <c r="O265">
        <v>2127417.8049752801</v>
      </c>
      <c r="P265">
        <v>16196.321017545701</v>
      </c>
      <c r="Q265">
        <v>17128937.1580147</v>
      </c>
      <c r="R265">
        <v>0.36342720616681501</v>
      </c>
      <c r="S265">
        <v>2.7787132927681699E-3</v>
      </c>
      <c r="T265">
        <v>0.24190253818173299</v>
      </c>
      <c r="U265">
        <v>4.5184510125717298E-3</v>
      </c>
      <c r="V265">
        <v>0.99053947368421102</v>
      </c>
      <c r="W265">
        <v>9.3710247576109101E-3</v>
      </c>
      <c r="X265">
        <v>0.41031928179577198</v>
      </c>
      <c r="Y265">
        <v>0.24195736878219601</v>
      </c>
      <c r="Z265">
        <v>0.10209411788841601</v>
      </c>
      <c r="AA265">
        <v>8.5563714117808899E-4</v>
      </c>
      <c r="AB265">
        <v>88</v>
      </c>
    </row>
    <row r="266" spans="1:28" x14ac:dyDescent="0.25">
      <c r="A266">
        <v>1400</v>
      </c>
      <c r="B266" s="1">
        <v>45448</v>
      </c>
      <c r="C266" t="s">
        <v>595</v>
      </c>
      <c r="D266">
        <v>4.71</v>
      </c>
      <c r="E266">
        <v>905</v>
      </c>
      <c r="F266" t="s">
        <v>52</v>
      </c>
      <c r="G266" t="s">
        <v>596</v>
      </c>
      <c r="H266">
        <v>8016</v>
      </c>
      <c r="I266">
        <f>VLOOKUP(H266,Sheet1!H:AE,2)</f>
        <v>2</v>
      </c>
      <c r="J266" t="str">
        <f>VLOOKUP(H266,Sheet1!H:T,3,FALSE)</f>
        <v>30"</v>
      </c>
      <c r="K266">
        <f>VLOOKUP($H266,Sheet1!H:$AE,4,FALSE)</f>
        <v>100000</v>
      </c>
      <c r="L266" t="str">
        <f>VLOOKUP($H266,Sheet1!$H:$AE,5,FALSE)</f>
        <v>Red Rover</v>
      </c>
      <c r="M266">
        <f>VLOOKUP($H266,Sheet1!$H:$AE,13,FALSE)</f>
        <v>1085</v>
      </c>
      <c r="N266">
        <v>2783.6620851820198</v>
      </c>
      <c r="O266">
        <v>1958360.8848897801</v>
      </c>
      <c r="P266">
        <v>17001.8141518763</v>
      </c>
      <c r="Q266">
        <v>20647248.2965369</v>
      </c>
      <c r="R266">
        <v>0.31575157956407701</v>
      </c>
      <c r="S266">
        <v>3.8229344753885701E-3</v>
      </c>
      <c r="T266">
        <v>0.224072756773843</v>
      </c>
      <c r="U266">
        <v>4.0987913608840302E-3</v>
      </c>
      <c r="V266">
        <v>0.96071000934222806</v>
      </c>
      <c r="W266">
        <v>3.7746287291859297E-2</v>
      </c>
      <c r="X266">
        <v>0.42413443619838398</v>
      </c>
      <c r="Y266">
        <v>0.244244416229184</v>
      </c>
      <c r="Z266">
        <v>9.6373351045459299E-2</v>
      </c>
      <c r="AA266">
        <v>9.1612187112057898E-4</v>
      </c>
      <c r="AB266">
        <v>80</v>
      </c>
    </row>
    <row r="267" spans="1:28" x14ac:dyDescent="0.25">
      <c r="A267">
        <v>1401</v>
      </c>
      <c r="B267" s="1">
        <v>45448</v>
      </c>
      <c r="C267" t="s">
        <v>597</v>
      </c>
      <c r="D267">
        <v>4.71</v>
      </c>
      <c r="E267">
        <v>905</v>
      </c>
      <c r="F267" t="s">
        <v>56</v>
      </c>
      <c r="G267" t="s">
        <v>598</v>
      </c>
      <c r="H267">
        <v>7016</v>
      </c>
      <c r="I267">
        <f>VLOOKUP(H267,Sheet1!H:AE,2)</f>
        <v>2</v>
      </c>
      <c r="J267" t="str">
        <f>VLOOKUP(H267,Sheet1!H:T,3,FALSE)</f>
        <v>30"</v>
      </c>
      <c r="K267">
        <f>VLOOKUP($H267,Sheet1!H:$AE,4,FALSE)</f>
        <v>100000</v>
      </c>
      <c r="L267" t="str">
        <f>VLOOKUP($H267,Sheet1!$H:$AE,5,FALSE)</f>
        <v>CLERK</v>
      </c>
      <c r="M267">
        <f>VLOOKUP($H267,Sheet1!$H:$AE,13,FALSE)</f>
        <v>1132</v>
      </c>
      <c r="N267">
        <v>2812.1822679748602</v>
      </c>
      <c r="O267">
        <v>1934878.43667219</v>
      </c>
      <c r="P267">
        <v>16694.085511329002</v>
      </c>
      <c r="Q267">
        <v>16221842.3913264</v>
      </c>
      <c r="R267">
        <v>0.34409892156998501</v>
      </c>
      <c r="S267">
        <v>2.78646911331E-3</v>
      </c>
      <c r="T267">
        <v>0.22705913123509899</v>
      </c>
      <c r="U267">
        <v>4.54758573671707E-3</v>
      </c>
      <c r="V267">
        <v>0.99536842105263201</v>
      </c>
      <c r="W267">
        <v>4.6101274238149097E-3</v>
      </c>
      <c r="X267">
        <v>0.39897995880602799</v>
      </c>
      <c r="Y267">
        <v>0.23979495127690401</v>
      </c>
      <c r="Z267">
        <v>9.8175988430529396E-2</v>
      </c>
      <c r="AA267">
        <v>1.0032233712173801E-3</v>
      </c>
      <c r="AB267">
        <v>86</v>
      </c>
    </row>
    <row r="268" spans="1:28" x14ac:dyDescent="0.25">
      <c r="A268">
        <v>1402</v>
      </c>
      <c r="B268" s="1">
        <v>45448</v>
      </c>
      <c r="C268" t="s">
        <v>599</v>
      </c>
      <c r="D268">
        <v>4.71</v>
      </c>
      <c r="E268">
        <v>905</v>
      </c>
      <c r="F268" t="s">
        <v>60</v>
      </c>
      <c r="G268" t="s">
        <v>600</v>
      </c>
      <c r="H268">
        <v>6016</v>
      </c>
      <c r="I268">
        <f>VLOOKUP(H268,Sheet1!H:AE,2)</f>
        <v>2</v>
      </c>
      <c r="J268" t="str">
        <f>VLOOKUP(H268,Sheet1!H:T,3,FALSE)</f>
        <v>30"</v>
      </c>
      <c r="K268">
        <f>VLOOKUP($H268,Sheet1!H:$AE,4,FALSE)</f>
        <v>100000</v>
      </c>
      <c r="L268" t="str">
        <f>VLOOKUP($H268,Sheet1!$H:$AE,5,FALSE)</f>
        <v>ETNA</v>
      </c>
      <c r="M268">
        <f>VLOOKUP($H268,Sheet1!$H:$AE,13,FALSE)</f>
        <v>1294</v>
      </c>
      <c r="N268">
        <v>2792.5064173443302</v>
      </c>
      <c r="O268">
        <v>1610020.1248311</v>
      </c>
      <c r="P268">
        <v>16761.929814838801</v>
      </c>
      <c r="Q268">
        <v>17068841.619444601</v>
      </c>
      <c r="R268">
        <v>0.36117171080881599</v>
      </c>
      <c r="S268">
        <v>2.8613383588447601E-3</v>
      </c>
      <c r="T268">
        <v>0.22655570559386401</v>
      </c>
      <c r="U268">
        <v>4.73406831015069E-3</v>
      </c>
      <c r="V268">
        <v>0.98584229154879499</v>
      </c>
      <c r="W268">
        <v>1.3957267742611299E-2</v>
      </c>
      <c r="X268">
        <v>0.37030110831398899</v>
      </c>
      <c r="Y268">
        <v>0.23317819749563601</v>
      </c>
      <c r="Z268">
        <v>9.3056265944980301E-2</v>
      </c>
      <c r="AA268">
        <v>9.3336123640364304E-4</v>
      </c>
      <c r="AB268">
        <v>75</v>
      </c>
    </row>
    <row r="269" spans="1:28" x14ac:dyDescent="0.25">
      <c r="A269">
        <v>1404</v>
      </c>
      <c r="B269" s="1">
        <v>45448</v>
      </c>
      <c r="C269" t="s">
        <v>601</v>
      </c>
      <c r="D269">
        <v>4.71</v>
      </c>
      <c r="E269">
        <v>905</v>
      </c>
      <c r="F269" t="s">
        <v>68</v>
      </c>
      <c r="G269" t="s">
        <v>602</v>
      </c>
      <c r="H269">
        <v>4016</v>
      </c>
      <c r="I269">
        <f>VLOOKUP(H269,Sheet1!H:AE,2)</f>
        <v>1</v>
      </c>
      <c r="J269" t="str">
        <f>VLOOKUP(H269,Sheet1!H:T,3,FALSE)</f>
        <v>30"</v>
      </c>
      <c r="K269">
        <f>VLOOKUP($H269,Sheet1!H:$AE,4,FALSE)</f>
        <v>100000</v>
      </c>
      <c r="L269" t="str">
        <f>VLOOKUP($H269,Sheet1!$H:$AE,5,FALSE)</f>
        <v>Apex</v>
      </c>
      <c r="M269">
        <f>VLOOKUP($H269,Sheet1!$H:$AE,13,FALSE)</f>
        <v>2547</v>
      </c>
      <c r="N269">
        <v>2485.41184950872</v>
      </c>
      <c r="O269">
        <v>1971999.8171532201</v>
      </c>
      <c r="P269">
        <v>16836.0334468193</v>
      </c>
      <c r="Q269">
        <v>16545476.6018159</v>
      </c>
      <c r="R269">
        <v>0.359627976953247</v>
      </c>
      <c r="S269">
        <v>2.5350281247648299E-3</v>
      </c>
      <c r="T269">
        <v>0.232920853990704</v>
      </c>
      <c r="U269">
        <v>3.2512921631031098E-3</v>
      </c>
      <c r="V269">
        <v>0.98443400571060102</v>
      </c>
      <c r="W269">
        <v>1.5323694111165E-2</v>
      </c>
      <c r="X269">
        <v>0.34949031300470101</v>
      </c>
      <c r="Y269">
        <v>0.22734683412102499</v>
      </c>
      <c r="Z269">
        <v>9.0307155243878806E-2</v>
      </c>
      <c r="AA269">
        <v>9.5910824056944801E-4</v>
      </c>
      <c r="AB269">
        <v>77</v>
      </c>
    </row>
    <row r="270" spans="1:28" x14ac:dyDescent="0.25">
      <c r="A270">
        <v>1405</v>
      </c>
      <c r="B270" s="1">
        <v>45448</v>
      </c>
      <c r="C270" t="s">
        <v>603</v>
      </c>
      <c r="D270">
        <v>4.71</v>
      </c>
      <c r="E270">
        <v>905</v>
      </c>
      <c r="F270" t="s">
        <v>72</v>
      </c>
      <c r="G270" t="s">
        <v>604</v>
      </c>
      <c r="H270">
        <v>3016</v>
      </c>
      <c r="I270">
        <f>VLOOKUP(H270,Sheet1!H:AE,2)</f>
        <v>1</v>
      </c>
      <c r="J270" t="str">
        <f>VLOOKUP(H270,Sheet1!H:T,3,FALSE)</f>
        <v>30"</v>
      </c>
      <c r="K270">
        <f>VLOOKUP($H270,Sheet1!H:$AE,4,FALSE)</f>
        <v>100000</v>
      </c>
      <c r="L270" t="str">
        <f>VLOOKUP($H270,Sheet1!$H:$AE,5,FALSE)</f>
        <v>Cayenne</v>
      </c>
      <c r="M270">
        <f>VLOOKUP($H270,Sheet1!$H:$AE,13,FALSE)</f>
        <v>1726</v>
      </c>
      <c r="N270">
        <v>2467.1152960606901</v>
      </c>
      <c r="O270">
        <v>1265925.22807623</v>
      </c>
      <c r="P270">
        <v>16384.62832697</v>
      </c>
      <c r="Q270">
        <v>15315623.1664376</v>
      </c>
      <c r="R270">
        <v>0.36064341986406001</v>
      </c>
      <c r="S270">
        <v>2.97927435701041E-3</v>
      </c>
      <c r="T270">
        <v>0.236951639632732</v>
      </c>
      <c r="U270">
        <v>4.07328196964992E-3</v>
      </c>
      <c r="V270">
        <v>0.979000552617036</v>
      </c>
      <c r="W270">
        <v>2.0558470592583301E-2</v>
      </c>
      <c r="X270">
        <v>0.41981128991126798</v>
      </c>
      <c r="Y270">
        <v>0.243569770773683</v>
      </c>
      <c r="Z270">
        <v>9.4957034091235501E-2</v>
      </c>
      <c r="AA270">
        <v>8.4252624967331795E-4</v>
      </c>
      <c r="AB270">
        <v>73</v>
      </c>
    </row>
    <row r="271" spans="1:28" x14ac:dyDescent="0.25">
      <c r="A271">
        <v>1406</v>
      </c>
      <c r="B271" s="1">
        <v>45448</v>
      </c>
      <c r="C271" t="s">
        <v>605</v>
      </c>
      <c r="D271">
        <v>4.71</v>
      </c>
      <c r="E271">
        <v>905</v>
      </c>
      <c r="F271" t="s">
        <v>76</v>
      </c>
      <c r="G271" t="s">
        <v>606</v>
      </c>
      <c r="H271">
        <v>2016</v>
      </c>
      <c r="I271">
        <f>VLOOKUP(H271,Sheet1!H:AE,2)</f>
        <v>1</v>
      </c>
      <c r="J271" t="str">
        <f>VLOOKUP(H271,Sheet1!H:T,3,FALSE)</f>
        <v>30"</v>
      </c>
      <c r="K271">
        <f>VLOOKUP($H271,Sheet1!H:$AE,4,FALSE)</f>
        <v>100000</v>
      </c>
      <c r="L271" t="str">
        <f>VLOOKUP($H271,Sheet1!$H:$AE,5,FALSE)</f>
        <v>Redhawk</v>
      </c>
      <c r="M271">
        <f>VLOOKUP($H271,Sheet1!$H:$AE,13,FALSE)</f>
        <v>467</v>
      </c>
      <c r="N271">
        <v>2616.4241414784701</v>
      </c>
      <c r="O271">
        <v>1330340.6376082499</v>
      </c>
      <c r="P271">
        <v>16895.023821166498</v>
      </c>
      <c r="Q271">
        <v>15256487.974995101</v>
      </c>
      <c r="R271">
        <v>0.35055429441008001</v>
      </c>
      <c r="S271">
        <v>2.3373394968749898E-3</v>
      </c>
      <c r="T271">
        <v>0.22309645367832501</v>
      </c>
      <c r="U271">
        <v>2.68788942191246E-3</v>
      </c>
      <c r="V271">
        <v>0.96703903998736795</v>
      </c>
      <c r="W271">
        <v>3.18745351276584E-2</v>
      </c>
      <c r="X271">
        <v>0.30868467855835102</v>
      </c>
      <c r="Y271">
        <v>0.213398447781462</v>
      </c>
      <c r="Z271">
        <v>0.10455132394219099</v>
      </c>
      <c r="AA271">
        <v>9.9505154427514996E-4</v>
      </c>
      <c r="AB271">
        <v>58</v>
      </c>
    </row>
    <row r="272" spans="1:28" x14ac:dyDescent="0.25">
      <c r="A272">
        <v>1407</v>
      </c>
      <c r="B272" s="1">
        <v>45448</v>
      </c>
      <c r="C272" t="s">
        <v>607</v>
      </c>
      <c r="D272">
        <v>4.71</v>
      </c>
      <c r="E272">
        <v>905</v>
      </c>
      <c r="F272" t="s">
        <v>79</v>
      </c>
      <c r="G272" t="s">
        <v>608</v>
      </c>
      <c r="H272">
        <v>1016</v>
      </c>
      <c r="I272">
        <f>VLOOKUP(H272,Sheet1!H:AE,2)</f>
        <v>1</v>
      </c>
      <c r="J272" t="str">
        <f>VLOOKUP(H272,Sheet1!H:T,3,FALSE)</f>
        <v>30"</v>
      </c>
      <c r="K272">
        <f>VLOOKUP($H272,Sheet1!H:$AE,4,FALSE)</f>
        <v>100000</v>
      </c>
      <c r="L272" t="str">
        <f>VLOOKUP($H272,Sheet1!$H:$AE,5,FALSE)</f>
        <v>black bear</v>
      </c>
      <c r="M272">
        <f>VLOOKUP($H272,Sheet1!$H:$AE,13,FALSE)</f>
        <v>2432</v>
      </c>
      <c r="N272">
        <v>2302.0431158760998</v>
      </c>
      <c r="O272">
        <v>1077118.0013671999</v>
      </c>
      <c r="P272">
        <v>16522.556536292799</v>
      </c>
      <c r="Q272">
        <v>13497612.340785099</v>
      </c>
      <c r="R272">
        <v>0.37050614113444802</v>
      </c>
      <c r="S272">
        <v>2.5576153548825201E-3</v>
      </c>
      <c r="T272">
        <v>0.234140967993827</v>
      </c>
      <c r="U272">
        <v>3.60829864058373E-3</v>
      </c>
      <c r="V272">
        <v>0.98677614179133899</v>
      </c>
      <c r="W272">
        <v>1.30489877827108E-2</v>
      </c>
      <c r="X272">
        <v>0.294545359436096</v>
      </c>
      <c r="Y272">
        <v>0.207788390670582</v>
      </c>
      <c r="Z272">
        <v>0</v>
      </c>
      <c r="AA272">
        <v>0</v>
      </c>
      <c r="AB272">
        <v>73</v>
      </c>
    </row>
    <row r="273" spans="1:28" x14ac:dyDescent="0.25">
      <c r="A273">
        <v>1408</v>
      </c>
      <c r="B273" s="1">
        <v>45448</v>
      </c>
      <c r="C273" t="s">
        <v>609</v>
      </c>
      <c r="D273">
        <v>4.71</v>
      </c>
      <c r="E273">
        <v>905</v>
      </c>
      <c r="F273" t="s">
        <v>82</v>
      </c>
      <c r="G273" t="s">
        <v>610</v>
      </c>
      <c r="H273">
        <v>1017</v>
      </c>
      <c r="I273">
        <f>VLOOKUP(H273,Sheet1!H:AE,2)</f>
        <v>1</v>
      </c>
      <c r="J273" t="str">
        <f>VLOOKUP(H273,Sheet1!H:T,3,FALSE)</f>
        <v>30"</v>
      </c>
      <c r="K273">
        <f>VLOOKUP($H273,Sheet1!H:$AE,4,FALSE)</f>
        <v>150000</v>
      </c>
      <c r="L273" t="str">
        <f>VLOOKUP($H273,Sheet1!$H:$AE,5,FALSE)</f>
        <v>Apex</v>
      </c>
      <c r="M273">
        <f>VLOOKUP($H273,Sheet1!$H:$AE,13,FALSE)</f>
        <v>2641</v>
      </c>
      <c r="N273">
        <v>2568.0733905789598</v>
      </c>
      <c r="O273">
        <v>4033204.38746027</v>
      </c>
      <c r="P273">
        <v>16244.506775059999</v>
      </c>
      <c r="Q273">
        <v>19988063.702366401</v>
      </c>
      <c r="R273">
        <v>0.38023237626551598</v>
      </c>
      <c r="S273">
        <v>3.3902092341584799E-3</v>
      </c>
      <c r="T273">
        <v>0.247587519978996</v>
      </c>
      <c r="U273">
        <v>6.36250732357551E-3</v>
      </c>
      <c r="V273">
        <v>0.96482894736842095</v>
      </c>
      <c r="W273">
        <v>3.3934049688233901E-2</v>
      </c>
      <c r="X273">
        <v>0.40460590843108701</v>
      </c>
      <c r="Y273">
        <v>0.240899967293666</v>
      </c>
      <c r="Z273">
        <v>0</v>
      </c>
      <c r="AA273">
        <v>0</v>
      </c>
      <c r="AB273">
        <v>72</v>
      </c>
    </row>
    <row r="274" spans="1:28" x14ac:dyDescent="0.25">
      <c r="A274">
        <v>1409</v>
      </c>
      <c r="B274" s="1">
        <v>45448</v>
      </c>
      <c r="C274" t="s">
        <v>611</v>
      </c>
      <c r="D274">
        <v>4.71</v>
      </c>
      <c r="E274">
        <v>905</v>
      </c>
      <c r="F274" t="s">
        <v>85</v>
      </c>
      <c r="G274" t="s">
        <v>612</v>
      </c>
      <c r="H274">
        <v>2017</v>
      </c>
      <c r="I274">
        <f>VLOOKUP(H274,Sheet1!H:AE,2)</f>
        <v>1</v>
      </c>
      <c r="J274" t="str">
        <f>VLOOKUP(H274,Sheet1!H:T,3,FALSE)</f>
        <v>30"</v>
      </c>
      <c r="K274">
        <f>VLOOKUP($H274,Sheet1!H:$AE,4,FALSE)</f>
        <v>150000</v>
      </c>
      <c r="L274" t="str">
        <f>VLOOKUP($H274,Sheet1!$H:$AE,5,FALSE)</f>
        <v>Red Dawn</v>
      </c>
      <c r="M274">
        <f>VLOOKUP($H274,Sheet1!$H:$AE,13,FALSE)</f>
        <v>466</v>
      </c>
      <c r="N274">
        <v>2959.11524088122</v>
      </c>
      <c r="O274">
        <v>2750285.2092442601</v>
      </c>
      <c r="P274">
        <v>16614.302851628301</v>
      </c>
      <c r="Q274">
        <v>19103161.6578178</v>
      </c>
      <c r="R274">
        <v>0.356153855958938</v>
      </c>
      <c r="S274">
        <v>3.4463212558397201E-3</v>
      </c>
      <c r="T274">
        <v>0.23655318295734301</v>
      </c>
      <c r="U274">
        <v>6.5384699514347304E-3</v>
      </c>
      <c r="V274">
        <v>0.99889473684210495</v>
      </c>
      <c r="W274">
        <v>1.1040415512505201E-3</v>
      </c>
      <c r="X274">
        <v>0.57275776616820995</v>
      </c>
      <c r="Y274">
        <v>0.24470630746265301</v>
      </c>
      <c r="Z274">
        <v>0.10455132394219099</v>
      </c>
      <c r="AA274">
        <v>9.9505154427514996E-4</v>
      </c>
      <c r="AB274">
        <v>80</v>
      </c>
    </row>
    <row r="275" spans="1:28" x14ac:dyDescent="0.25">
      <c r="A275">
        <v>1410</v>
      </c>
      <c r="B275" s="1">
        <v>45448</v>
      </c>
      <c r="C275" t="s">
        <v>613</v>
      </c>
      <c r="D275">
        <v>4.71</v>
      </c>
      <c r="E275">
        <v>905</v>
      </c>
      <c r="F275" t="s">
        <v>88</v>
      </c>
      <c r="G275" t="s">
        <v>614</v>
      </c>
      <c r="H275">
        <v>3017</v>
      </c>
      <c r="I275">
        <f>VLOOKUP(H275,Sheet1!H:AE,2)</f>
        <v>1</v>
      </c>
      <c r="J275" t="str">
        <f>VLOOKUP(H275,Sheet1!H:T,3,FALSE)</f>
        <v>30"</v>
      </c>
      <c r="K275">
        <f>VLOOKUP($H275,Sheet1!H:$AE,4,FALSE)</f>
        <v>150000</v>
      </c>
      <c r="L275" t="str">
        <f>VLOOKUP($H275,Sheet1!$H:$AE,5,FALSE)</f>
        <v>Nautica</v>
      </c>
      <c r="M275">
        <f>VLOOKUP($H275,Sheet1!$H:$AE,13,FALSE)</f>
        <v>1034</v>
      </c>
      <c r="N275">
        <v>2545.66545131356</v>
      </c>
      <c r="O275">
        <v>1521971.5151784001</v>
      </c>
      <c r="P275">
        <v>16454.6148959573</v>
      </c>
      <c r="Q275">
        <v>15668673.6367217</v>
      </c>
      <c r="R275">
        <v>0.36121616624467301</v>
      </c>
      <c r="S275">
        <v>2.9596239782182301E-3</v>
      </c>
      <c r="T275">
        <v>0.23720684841078599</v>
      </c>
      <c r="U275">
        <v>4.3741390732621802E-3</v>
      </c>
      <c r="V275">
        <v>0.97532862274503596</v>
      </c>
      <c r="W275">
        <v>2.4062700399229899E-2</v>
      </c>
      <c r="X275">
        <v>0.56100591096929397</v>
      </c>
      <c r="Y275">
        <v>0.24627827882706099</v>
      </c>
      <c r="Z275">
        <v>9.4957034091235501E-2</v>
      </c>
      <c r="AA275">
        <v>8.4252624967331795E-4</v>
      </c>
      <c r="AB275">
        <v>71</v>
      </c>
    </row>
    <row r="276" spans="1:28" x14ac:dyDescent="0.25">
      <c r="A276">
        <v>1411</v>
      </c>
      <c r="B276" s="1">
        <v>45448</v>
      </c>
      <c r="C276" t="s">
        <v>615</v>
      </c>
      <c r="D276">
        <v>4.71</v>
      </c>
      <c r="E276">
        <v>905</v>
      </c>
      <c r="F276" t="s">
        <v>91</v>
      </c>
      <c r="G276" t="s">
        <v>616</v>
      </c>
      <c r="H276">
        <v>4017</v>
      </c>
      <c r="I276">
        <f>VLOOKUP(H276,Sheet1!H:AE,2)</f>
        <v>1</v>
      </c>
      <c r="J276" t="str">
        <f>VLOOKUP(H276,Sheet1!H:T,3,FALSE)</f>
        <v>30"</v>
      </c>
      <c r="K276">
        <f>VLOOKUP($H276,Sheet1!H:$AE,4,FALSE)</f>
        <v>150000</v>
      </c>
      <c r="L276" t="str">
        <f>VLOOKUP($H276,Sheet1!$H:$AE,5,FALSE)</f>
        <v>Windbreaker</v>
      </c>
      <c r="M276">
        <f>VLOOKUP($H276,Sheet1!$H:$AE,13,FALSE)</f>
        <v>2280</v>
      </c>
      <c r="N276">
        <v>2778.4010441452301</v>
      </c>
      <c r="O276">
        <v>3070199.7750032502</v>
      </c>
      <c r="P276">
        <v>16424.641556106799</v>
      </c>
      <c r="Q276">
        <v>19422621.069579698</v>
      </c>
      <c r="R276">
        <v>0.36479487331607102</v>
      </c>
      <c r="S276">
        <v>3.3955016571231402E-3</v>
      </c>
      <c r="T276">
        <v>0.245000278053145</v>
      </c>
      <c r="U276">
        <v>6.8503206970669502E-3</v>
      </c>
      <c r="V276">
        <v>0.99365797818449797</v>
      </c>
      <c r="W276">
        <v>6.3018005747719104E-3</v>
      </c>
      <c r="X276">
        <v>0.68777135533818001</v>
      </c>
      <c r="Y276">
        <v>0.214741918114181</v>
      </c>
      <c r="Z276">
        <v>9.0307155243878806E-2</v>
      </c>
      <c r="AA276">
        <v>9.5910824056944801E-4</v>
      </c>
      <c r="AB276">
        <v>63</v>
      </c>
    </row>
    <row r="277" spans="1:28" x14ac:dyDescent="0.25">
      <c r="A277">
        <v>1412</v>
      </c>
      <c r="B277" s="1">
        <v>45448</v>
      </c>
      <c r="C277" t="s">
        <v>617</v>
      </c>
      <c r="D277">
        <v>4.71</v>
      </c>
      <c r="E277">
        <v>905</v>
      </c>
      <c r="F277" t="s">
        <v>94</v>
      </c>
      <c r="G277" t="s">
        <v>618</v>
      </c>
      <c r="H277">
        <v>5017</v>
      </c>
      <c r="I277">
        <f>VLOOKUP(H277,Sheet1!H:AE,2)</f>
        <v>2</v>
      </c>
      <c r="J277" t="str">
        <f>VLOOKUP(H277,Sheet1!H:T,3,FALSE)</f>
        <v>30"</v>
      </c>
      <c r="K277">
        <f>VLOOKUP($H277,Sheet1!H:$AE,4,FALSE)</f>
        <v>150000</v>
      </c>
      <c r="L277" t="str">
        <f>VLOOKUP($H277,Sheet1!$H:$AE,5,FALSE)</f>
        <v>Eclipse</v>
      </c>
      <c r="M277">
        <f>VLOOKUP($H277,Sheet1!$H:$AE,13,FALSE)</f>
        <v>2599</v>
      </c>
      <c r="N277">
        <v>2785.95199938416</v>
      </c>
      <c r="O277">
        <v>1578384.4821599701</v>
      </c>
      <c r="P277">
        <v>16422.888367879299</v>
      </c>
      <c r="Q277">
        <v>18203373.986266099</v>
      </c>
      <c r="R277">
        <v>0.37020664656378099</v>
      </c>
      <c r="S277">
        <v>3.9239244280707096E-3</v>
      </c>
      <c r="T277">
        <v>0.24017120586151899</v>
      </c>
      <c r="U277">
        <v>6.76616039352317E-3</v>
      </c>
      <c r="V277">
        <v>0.99957894736842101</v>
      </c>
      <c r="W277">
        <v>4.2087534626069402E-4</v>
      </c>
      <c r="X277">
        <v>0.52697206674687402</v>
      </c>
      <c r="Y277">
        <v>0.24927250761544101</v>
      </c>
      <c r="Z277">
        <v>8.5872909838574096E-2</v>
      </c>
      <c r="AA277">
        <v>8.7433742098954204E-4</v>
      </c>
      <c r="AB277">
        <v>102</v>
      </c>
    </row>
    <row r="278" spans="1:28" x14ac:dyDescent="0.25">
      <c r="A278">
        <v>1413</v>
      </c>
      <c r="B278" s="1">
        <v>45448</v>
      </c>
      <c r="C278" t="s">
        <v>619</v>
      </c>
      <c r="D278">
        <v>4.71</v>
      </c>
      <c r="E278">
        <v>905</v>
      </c>
      <c r="F278" t="s">
        <v>97</v>
      </c>
      <c r="G278" s="2" t="s">
        <v>620</v>
      </c>
      <c r="H278">
        <v>6017</v>
      </c>
      <c r="I278">
        <f>VLOOKUP(H278,Sheet1!H:AE,2)</f>
        <v>2</v>
      </c>
      <c r="J278" t="str">
        <f>VLOOKUP(H278,Sheet1!H:T,3,FALSE)</f>
        <v>30"</v>
      </c>
      <c r="K278">
        <f>VLOOKUP($H278,Sheet1!H:$AE,4,FALSE)</f>
        <v>150000</v>
      </c>
      <c r="L278" t="str">
        <f>VLOOKUP($H278,Sheet1!$H:$AE,5,FALSE)</f>
        <v>black bear</v>
      </c>
      <c r="M278">
        <f>VLOOKUP($H278,Sheet1!$H:$AE,13,FALSE)</f>
        <v>2793</v>
      </c>
      <c r="N278">
        <v>2646.8979663246901</v>
      </c>
      <c r="O278">
        <v>1807018.6704994701</v>
      </c>
      <c r="P278">
        <v>16782.337498549801</v>
      </c>
      <c r="Q278">
        <v>19326367.148447499</v>
      </c>
      <c r="R278">
        <v>0.36549517001439902</v>
      </c>
      <c r="S278">
        <v>3.5910946899788401E-3</v>
      </c>
      <c r="T278">
        <v>0.23088324722217701</v>
      </c>
      <c r="U278">
        <v>5.7549372051457102E-3</v>
      </c>
      <c r="V278">
        <v>0.99997368559549504</v>
      </c>
      <c r="W278" s="2">
        <v>2.6313712057134102E-5</v>
      </c>
      <c r="X278">
        <v>0.569852748862269</v>
      </c>
      <c r="Y278">
        <v>0.24512059347661799</v>
      </c>
      <c r="Z278">
        <v>9.3056265944980301E-2</v>
      </c>
      <c r="AA278">
        <v>9.3336123640364304E-4</v>
      </c>
      <c r="AB278">
        <v>101</v>
      </c>
    </row>
    <row r="279" spans="1:28" x14ac:dyDescent="0.25">
      <c r="A279">
        <v>1414</v>
      </c>
      <c r="B279" s="1">
        <v>45448</v>
      </c>
      <c r="C279" t="s">
        <v>621</v>
      </c>
      <c r="D279">
        <v>4.71</v>
      </c>
      <c r="E279">
        <v>905</v>
      </c>
      <c r="F279" t="s">
        <v>100</v>
      </c>
      <c r="G279" t="s">
        <v>622</v>
      </c>
      <c r="H279">
        <v>7017</v>
      </c>
      <c r="I279">
        <f>VLOOKUP(H279,Sheet1!H:AE,2)</f>
        <v>2</v>
      </c>
      <c r="J279" t="str">
        <f>VLOOKUP(H279,Sheet1!H:T,3,FALSE)</f>
        <v>30"</v>
      </c>
      <c r="K279">
        <f>VLOOKUP($H279,Sheet1!H:$AE,4,FALSE)</f>
        <v>150000</v>
      </c>
      <c r="L279" t="str">
        <f>VLOOKUP($H279,Sheet1!$H:$AE,5,FALSE)</f>
        <v>Merlot</v>
      </c>
      <c r="M279">
        <f>VLOOKUP($H279,Sheet1!$H:$AE,13,FALSE)</f>
        <v>1958</v>
      </c>
      <c r="N279">
        <v>2612.4950942656801</v>
      </c>
      <c r="O279">
        <v>1357467.7724751499</v>
      </c>
      <c r="P279">
        <v>16932.342559567602</v>
      </c>
      <c r="Q279">
        <v>17422681.581379801</v>
      </c>
      <c r="R279">
        <v>0.34998322029483298</v>
      </c>
      <c r="S279">
        <v>3.01094378290049E-3</v>
      </c>
      <c r="T279">
        <v>0.22662991556515399</v>
      </c>
      <c r="U279">
        <v>3.6460026969370998E-3</v>
      </c>
      <c r="V279">
        <v>0.97338192918514199</v>
      </c>
      <c r="W279">
        <v>2.5909549120971299E-2</v>
      </c>
      <c r="X279">
        <v>0.51165831905739501</v>
      </c>
      <c r="Y279">
        <v>0.24986408359640699</v>
      </c>
      <c r="Z279">
        <v>9.8175988430529396E-2</v>
      </c>
      <c r="AA279">
        <v>1.0032233712173801E-3</v>
      </c>
      <c r="AB279">
        <v>78</v>
      </c>
    </row>
    <row r="280" spans="1:28" x14ac:dyDescent="0.25">
      <c r="A280">
        <v>1415</v>
      </c>
      <c r="B280" s="1">
        <v>45448</v>
      </c>
      <c r="C280" t="s">
        <v>623</v>
      </c>
      <c r="D280">
        <v>4.71</v>
      </c>
      <c r="E280">
        <v>905</v>
      </c>
      <c r="F280" t="s">
        <v>103</v>
      </c>
      <c r="G280" t="s">
        <v>624</v>
      </c>
      <c r="H280">
        <v>8017</v>
      </c>
      <c r="I280">
        <f>VLOOKUP(H280,Sheet1!H:AE,2)</f>
        <v>2</v>
      </c>
      <c r="J280" t="str">
        <f>VLOOKUP(H280,Sheet1!H:T,3,FALSE)</f>
        <v>30"</v>
      </c>
      <c r="K280">
        <f>VLOOKUP($H280,Sheet1!H:$AE,4,FALSE)</f>
        <v>150000</v>
      </c>
      <c r="L280" t="str">
        <f>VLOOKUP($H280,Sheet1!$H:$AE,5,FALSE)</f>
        <v>CLERK</v>
      </c>
      <c r="M280">
        <f>VLOOKUP($H280,Sheet1!$H:$AE,13,FALSE)</f>
        <v>1216</v>
      </c>
      <c r="N280">
        <v>2625.07965289198</v>
      </c>
      <c r="O280">
        <v>1921710.19702153</v>
      </c>
      <c r="P280">
        <v>16701.043279675101</v>
      </c>
      <c r="Q280">
        <v>19448182.984968401</v>
      </c>
      <c r="R280">
        <v>0.31364390226272998</v>
      </c>
      <c r="S280">
        <v>3.3223995074468E-3</v>
      </c>
      <c r="T280">
        <v>0.22281931785166401</v>
      </c>
      <c r="U280">
        <v>3.5954018996959798E-3</v>
      </c>
      <c r="V280">
        <v>0.84714674806910395</v>
      </c>
      <c r="W280">
        <v>0.129489135304552</v>
      </c>
      <c r="X280">
        <v>0.41834112531467599</v>
      </c>
      <c r="Y280">
        <v>0.24333182818535901</v>
      </c>
      <c r="Z280">
        <v>9.6373351045459299E-2</v>
      </c>
      <c r="AA280">
        <v>9.1612187112057898E-4</v>
      </c>
      <c r="AB280">
        <v>62</v>
      </c>
    </row>
    <row r="281" spans="1:28" x14ac:dyDescent="0.25">
      <c r="A281">
        <v>1416</v>
      </c>
      <c r="B281" s="1">
        <v>45448</v>
      </c>
      <c r="C281" t="s">
        <v>625</v>
      </c>
      <c r="D281">
        <v>4.71</v>
      </c>
      <c r="E281">
        <v>905</v>
      </c>
      <c r="F281" t="s">
        <v>106</v>
      </c>
      <c r="G281" t="s">
        <v>626</v>
      </c>
      <c r="H281">
        <v>9017</v>
      </c>
      <c r="I281">
        <f>VLOOKUP(H281,Sheet1!H:AE,2)</f>
        <v>3</v>
      </c>
      <c r="J281" t="str">
        <f>VLOOKUP(H281,Sheet1!H:T,3,FALSE)</f>
        <v>30"</v>
      </c>
      <c r="K281">
        <f>VLOOKUP($H281,Sheet1!H:$AE,4,FALSE)</f>
        <v>150000</v>
      </c>
      <c r="L281" t="str">
        <f>VLOOKUP($H281,Sheet1!$H:$AE,5,FALSE)</f>
        <v>Ronnies red</v>
      </c>
      <c r="M281">
        <f>VLOOKUP($H281,Sheet1!$H:$AE,13,FALSE)</f>
        <v>1266</v>
      </c>
      <c r="N281">
        <v>2733.4503961033502</v>
      </c>
      <c r="O281">
        <v>2136650.7951699202</v>
      </c>
      <c r="P281">
        <v>15971.876279787601</v>
      </c>
      <c r="Q281">
        <v>17653712.5945081</v>
      </c>
      <c r="R281">
        <v>0.36517012587715397</v>
      </c>
      <c r="S281">
        <v>3.0723310076748401E-3</v>
      </c>
      <c r="T281">
        <v>0.243945565931141</v>
      </c>
      <c r="U281">
        <v>5.7028941031379904E-3</v>
      </c>
      <c r="V281">
        <v>0.99960525796392097</v>
      </c>
      <c r="W281">
        <v>3.9458621480450198E-4</v>
      </c>
      <c r="X281">
        <v>0.60910701792241195</v>
      </c>
      <c r="Y281">
        <v>0.23809565864004101</v>
      </c>
      <c r="Z281">
        <v>0.10209411788841601</v>
      </c>
      <c r="AA281">
        <v>8.5563714117808899E-4</v>
      </c>
      <c r="AB281">
        <v>82</v>
      </c>
    </row>
    <row r="282" spans="1:28" x14ac:dyDescent="0.25">
      <c r="A282">
        <v>1417</v>
      </c>
      <c r="B282" s="1">
        <v>45448</v>
      </c>
      <c r="C282" t="s">
        <v>627</v>
      </c>
      <c r="D282">
        <v>4.71</v>
      </c>
      <c r="E282">
        <v>905</v>
      </c>
      <c r="F282" t="s">
        <v>109</v>
      </c>
      <c r="G282" t="s">
        <v>628</v>
      </c>
      <c r="H282">
        <v>10017</v>
      </c>
      <c r="I282">
        <f>VLOOKUP(H282,Sheet1!H:AE,2)</f>
        <v>3</v>
      </c>
      <c r="J282" t="str">
        <f>VLOOKUP(H282,Sheet1!H:T,3,FALSE)</f>
        <v>30"</v>
      </c>
      <c r="K282">
        <f>VLOOKUP($H282,Sheet1!H:$AE,4,FALSE)</f>
        <v>150000</v>
      </c>
      <c r="L282" t="str">
        <f>VLOOKUP($H282,Sheet1!$H:$AE,5,FALSE)</f>
        <v>Redhawk</v>
      </c>
      <c r="M282">
        <f>VLOOKUP($H282,Sheet1!$H:$AE,13,FALSE)</f>
        <v>989</v>
      </c>
      <c r="N282">
        <v>2638.40881766332</v>
      </c>
      <c r="O282">
        <v>1432183.16472718</v>
      </c>
      <c r="P282">
        <v>16932.734856149</v>
      </c>
      <c r="Q282">
        <v>16435092.856725801</v>
      </c>
      <c r="R282">
        <v>0.35844501150097002</v>
      </c>
      <c r="S282">
        <v>2.6064113786527301E-3</v>
      </c>
      <c r="T282">
        <v>0.225580809524595</v>
      </c>
      <c r="U282">
        <v>2.5655208346694E-3</v>
      </c>
      <c r="V282">
        <v>0.92298684210526305</v>
      </c>
      <c r="W282">
        <v>7.1082131405667895E-2</v>
      </c>
      <c r="X282">
        <v>0.489950175888268</v>
      </c>
      <c r="Y282">
        <v>0.24989900103579599</v>
      </c>
      <c r="Z282">
        <v>7.7678776515304901E-2</v>
      </c>
      <c r="AA282">
        <v>1.12397102936487E-3</v>
      </c>
      <c r="AB282">
        <v>56</v>
      </c>
    </row>
    <row r="283" spans="1:28" x14ac:dyDescent="0.25">
      <c r="A283">
        <v>1418</v>
      </c>
      <c r="B283" s="1">
        <v>45448</v>
      </c>
      <c r="C283" t="s">
        <v>629</v>
      </c>
      <c r="D283">
        <v>4.71</v>
      </c>
      <c r="E283">
        <v>905</v>
      </c>
      <c r="F283" t="s">
        <v>112</v>
      </c>
      <c r="G283" s="2" t="s">
        <v>630</v>
      </c>
      <c r="H283">
        <v>11017</v>
      </c>
      <c r="I283">
        <f>VLOOKUP(H283,Sheet1!H:AE,2)</f>
        <v>3</v>
      </c>
      <c r="J283" t="str">
        <f>VLOOKUP(H283,Sheet1!H:T,3,FALSE)</f>
        <v>30"</v>
      </c>
      <c r="K283">
        <f>VLOOKUP($H283,Sheet1!H:$AE,4,FALSE)</f>
        <v>150000</v>
      </c>
      <c r="L283" t="str">
        <f>VLOOKUP($H283,Sheet1!$H:$AE,5,FALSE)</f>
        <v>Cayenne</v>
      </c>
      <c r="M283">
        <f>VLOOKUP($H283,Sheet1!$H:$AE,13,FALSE)</f>
        <v>3256</v>
      </c>
      <c r="N283">
        <v>2637.07718254662</v>
      </c>
      <c r="O283">
        <v>1231827.4167867801</v>
      </c>
      <c r="P283">
        <v>16591.373642090901</v>
      </c>
      <c r="Q283">
        <v>14984753.790077901</v>
      </c>
      <c r="R283">
        <v>0.35278692879520501</v>
      </c>
      <c r="S283">
        <v>2.8987338054615899E-3</v>
      </c>
      <c r="T283">
        <v>0.222100270297696</v>
      </c>
      <c r="U283">
        <v>4.0410843698500901E-3</v>
      </c>
      <c r="V283">
        <v>0.99771052631578905</v>
      </c>
      <c r="W283">
        <v>2.28423199446096E-3</v>
      </c>
      <c r="X283">
        <v>0.56043417137999796</v>
      </c>
      <c r="Y283">
        <v>0.246347710929161</v>
      </c>
      <c r="Z283">
        <v>0.116475845461096</v>
      </c>
      <c r="AA283">
        <v>8.8454664812347703E-4</v>
      </c>
      <c r="AB283">
        <v>76</v>
      </c>
    </row>
    <row r="284" spans="1:28" x14ac:dyDescent="0.25">
      <c r="A284">
        <v>1419</v>
      </c>
      <c r="B284" s="1">
        <v>45448</v>
      </c>
      <c r="C284" t="s">
        <v>631</v>
      </c>
      <c r="D284">
        <v>4.71</v>
      </c>
      <c r="E284">
        <v>905</v>
      </c>
      <c r="F284" t="s">
        <v>115</v>
      </c>
      <c r="G284" t="s">
        <v>632</v>
      </c>
      <c r="H284">
        <v>12017</v>
      </c>
      <c r="I284">
        <f>VLOOKUP(H284,Sheet1!H:AE,2)</f>
        <v>3</v>
      </c>
      <c r="J284" t="str">
        <f>VLOOKUP(H284,Sheet1!H:T,3,FALSE)</f>
        <v>30"</v>
      </c>
      <c r="K284">
        <f>VLOOKUP($H284,Sheet1!H:$AE,4,FALSE)</f>
        <v>150000</v>
      </c>
      <c r="L284" t="str">
        <f>VLOOKUP($H284,Sheet1!$H:$AE,5,FALSE)</f>
        <v>ETNA</v>
      </c>
      <c r="M284">
        <f>VLOOKUP($H284,Sheet1!$H:$AE,13,FALSE)</f>
        <v>623</v>
      </c>
      <c r="N284">
        <v>2570.68352764987</v>
      </c>
      <c r="O284">
        <v>1851859.25381405</v>
      </c>
      <c r="P284">
        <v>16110.9008880852</v>
      </c>
      <c r="Q284">
        <v>20210176.5016746</v>
      </c>
      <c r="R284">
        <v>0.373896624316092</v>
      </c>
      <c r="S284">
        <v>3.8317033234626001E-3</v>
      </c>
      <c r="T284">
        <v>0.24168130807345101</v>
      </c>
      <c r="U284">
        <v>6.0636398456352198E-3</v>
      </c>
      <c r="V284">
        <v>1</v>
      </c>
      <c r="W284">
        <v>0</v>
      </c>
      <c r="X284">
        <v>0.57434204073626005</v>
      </c>
      <c r="Y284">
        <v>0.244473260979374</v>
      </c>
      <c r="Z284">
        <v>0.101541433721954</v>
      </c>
      <c r="AA284">
        <v>8.1137284474565199E-4</v>
      </c>
      <c r="AB284">
        <v>89</v>
      </c>
    </row>
    <row r="285" spans="1:28" x14ac:dyDescent="0.25">
      <c r="A285">
        <v>1420</v>
      </c>
      <c r="B285" s="1">
        <v>45448</v>
      </c>
      <c r="C285" t="s">
        <v>633</v>
      </c>
      <c r="D285">
        <v>4.71</v>
      </c>
      <c r="E285">
        <v>905</v>
      </c>
      <c r="F285" t="s">
        <v>118</v>
      </c>
      <c r="G285" t="s">
        <v>634</v>
      </c>
      <c r="H285">
        <v>13017</v>
      </c>
      <c r="I285">
        <f>VLOOKUP(H285,Sheet1!H:AE,2)</f>
        <v>3</v>
      </c>
      <c r="J285" t="str">
        <f>VLOOKUP(H285,Sheet1!H:T,3,FALSE)</f>
        <v>30"</v>
      </c>
      <c r="K285">
        <f>VLOOKUP($H285,Sheet1!H:$AE,4,FALSE)</f>
        <v>150000</v>
      </c>
      <c r="L285" t="str">
        <f>VLOOKUP($H285,Sheet1!$H:$AE,5,FALSE)</f>
        <v>Red Rover</v>
      </c>
      <c r="M285">
        <f>VLOOKUP($H285,Sheet1!$H:$AE,13,FALSE)</f>
        <v>863</v>
      </c>
      <c r="N285">
        <v>2726.9431470660302</v>
      </c>
      <c r="O285">
        <v>2008137.1237351501</v>
      </c>
      <c r="P285">
        <v>16036.843081401301</v>
      </c>
      <c r="Q285">
        <v>22206085.8004888</v>
      </c>
      <c r="R285">
        <v>0.37105952951065302</v>
      </c>
      <c r="S285">
        <v>3.8589345119523998E-3</v>
      </c>
      <c r="T285">
        <v>0.24670808127510699</v>
      </c>
      <c r="U285">
        <v>6.7663844764043303E-3</v>
      </c>
      <c r="V285">
        <v>1</v>
      </c>
      <c r="W285">
        <v>0</v>
      </c>
      <c r="X285">
        <v>0.52402686143605304</v>
      </c>
      <c r="Y285">
        <v>0.249422709928946</v>
      </c>
      <c r="Z285">
        <v>0.100795516765079</v>
      </c>
      <c r="AA285">
        <v>1.1483676572164199E-3</v>
      </c>
      <c r="AB285">
        <v>83</v>
      </c>
    </row>
    <row r="286" spans="1:28" x14ac:dyDescent="0.25">
      <c r="A286">
        <v>1421</v>
      </c>
      <c r="B286" s="1">
        <v>45448</v>
      </c>
      <c r="C286" t="s">
        <v>635</v>
      </c>
      <c r="D286">
        <v>4.71</v>
      </c>
      <c r="E286">
        <v>905</v>
      </c>
      <c r="F286" t="s">
        <v>121</v>
      </c>
      <c r="G286" t="s">
        <v>636</v>
      </c>
      <c r="H286">
        <v>14017</v>
      </c>
      <c r="I286">
        <f>VLOOKUP(H286,Sheet1!H:AE,2)</f>
        <v>3</v>
      </c>
      <c r="J286" t="str">
        <f>VLOOKUP(H286,Sheet1!H:T,3,FALSE)</f>
        <v>30"</v>
      </c>
      <c r="K286">
        <f>VLOOKUP($H286,Sheet1!H:$AE,4,FALSE)</f>
        <v>150000</v>
      </c>
      <c r="L286" t="str">
        <f>VLOOKUP($H286,Sheet1!$H:$AE,5,FALSE)</f>
        <v>T9905</v>
      </c>
      <c r="M286">
        <f>VLOOKUP($H286,Sheet1!$H:$AE,13,FALSE)</f>
        <v>2758</v>
      </c>
      <c r="N286">
        <v>2586.4434164946301</v>
      </c>
      <c r="O286">
        <v>1510051.72830572</v>
      </c>
      <c r="P286">
        <v>16104.341823991999</v>
      </c>
      <c r="Q286">
        <v>18633565.7501777</v>
      </c>
      <c r="R286">
        <v>0.37828922522126801</v>
      </c>
      <c r="S286">
        <v>2.92986707008429E-3</v>
      </c>
      <c r="T286">
        <v>0.25359989251611098</v>
      </c>
      <c r="U286">
        <v>3.76697264794333E-3</v>
      </c>
      <c r="V286">
        <v>0.99984210318556799</v>
      </c>
      <c r="W286">
        <v>1.57871883028048E-4</v>
      </c>
      <c r="X286">
        <v>0.55046195492261496</v>
      </c>
      <c r="Y286">
        <v>0.24745359110564699</v>
      </c>
      <c r="Z286">
        <v>0.111427559881838</v>
      </c>
      <c r="AA286">
        <v>9.6879540174686304E-4</v>
      </c>
      <c r="AB286">
        <v>99</v>
      </c>
    </row>
    <row r="287" spans="1:28" x14ac:dyDescent="0.25">
      <c r="A287">
        <v>1422</v>
      </c>
      <c r="B287" s="1">
        <v>45448</v>
      </c>
      <c r="C287" t="s">
        <v>637</v>
      </c>
      <c r="D287">
        <v>4.71</v>
      </c>
      <c r="E287">
        <v>905</v>
      </c>
      <c r="F287" t="s">
        <v>124</v>
      </c>
      <c r="G287" t="s">
        <v>638</v>
      </c>
      <c r="H287">
        <v>15017</v>
      </c>
      <c r="I287">
        <f>VLOOKUP(H287,Sheet1!H:AE,2)</f>
        <v>3</v>
      </c>
      <c r="J287" t="str">
        <f>VLOOKUP(H287,Sheet1!H:T,3,FALSE)</f>
        <v>30"</v>
      </c>
      <c r="K287">
        <f>VLOOKUP($H287,Sheet1!H:$AE,4,FALSE)</f>
        <v>150000</v>
      </c>
      <c r="L287" t="str">
        <f>VLOOKUP($H287,Sheet1!$H:$AE,5,FALSE)</f>
        <v>Zorro</v>
      </c>
      <c r="M287">
        <f>VLOOKUP($H287,Sheet1!$H:$AE,13,FALSE)</f>
        <v>1662</v>
      </c>
      <c r="N287">
        <v>2576.2918626133701</v>
      </c>
      <c r="O287">
        <v>2473950.4919071901</v>
      </c>
      <c r="P287">
        <v>16206.1396166011</v>
      </c>
      <c r="Q287">
        <v>22800220.885295399</v>
      </c>
      <c r="R287">
        <v>0.39691489066505498</v>
      </c>
      <c r="S287">
        <v>3.5604449456803199E-3</v>
      </c>
      <c r="T287">
        <v>0.265553064340672</v>
      </c>
      <c r="U287">
        <v>5.8786897614970099E-3</v>
      </c>
      <c r="V287">
        <v>0.92671149063828095</v>
      </c>
      <c r="W287">
        <v>6.7917303757145095E-2</v>
      </c>
      <c r="X287">
        <v>0.52538660215124</v>
      </c>
      <c r="Y287">
        <v>0.249355520431225</v>
      </c>
      <c r="Z287">
        <v>8.4192931908469798E-2</v>
      </c>
      <c r="AA287">
        <v>2.9695728572760498E-3</v>
      </c>
      <c r="AB287">
        <v>72</v>
      </c>
    </row>
    <row r="288" spans="1:28" x14ac:dyDescent="0.25">
      <c r="A288">
        <v>1423</v>
      </c>
      <c r="B288" s="1">
        <v>45448</v>
      </c>
      <c r="C288" t="s">
        <v>639</v>
      </c>
      <c r="D288">
        <v>4.71</v>
      </c>
      <c r="E288">
        <v>905</v>
      </c>
      <c r="F288" t="s">
        <v>24</v>
      </c>
      <c r="G288" t="s">
        <v>640</v>
      </c>
      <c r="H288">
        <v>15018</v>
      </c>
      <c r="I288">
        <f>VLOOKUP(H288,Sheet1!H:AE,2)</f>
        <v>4</v>
      </c>
      <c r="J288" t="str">
        <f>VLOOKUP(H288,Sheet1!H:T,3,FALSE)</f>
        <v>30"</v>
      </c>
      <c r="K288">
        <f>VLOOKUP($H288,Sheet1!H:$AE,4,FALSE)</f>
        <v>75000</v>
      </c>
      <c r="L288" t="str">
        <f>VLOOKUP($H288,Sheet1!$H:$AE,5,FALSE)</f>
        <v>Nautica</v>
      </c>
      <c r="M288">
        <f>VLOOKUP($H288,Sheet1!$H:$AE,13,FALSE)</f>
        <v>1775</v>
      </c>
      <c r="N288">
        <v>2361.3353161412201</v>
      </c>
      <c r="O288">
        <v>1734062.3383766401</v>
      </c>
      <c r="P288">
        <v>16886.863951400199</v>
      </c>
      <c r="Q288">
        <v>17618114.006882101</v>
      </c>
      <c r="R288">
        <v>0.38228148858927902</v>
      </c>
      <c r="S288">
        <v>2.3095120625269798E-3</v>
      </c>
      <c r="T288">
        <v>0.24941459863218801</v>
      </c>
      <c r="U288">
        <v>2.1963784998239801E-3</v>
      </c>
      <c r="V288">
        <v>0.95759210526315797</v>
      </c>
      <c r="W288">
        <v>4.0609465200822502E-2</v>
      </c>
      <c r="X288">
        <v>0.39484885933423503</v>
      </c>
      <c r="Y288">
        <v>0.23894323761650499</v>
      </c>
      <c r="Z288">
        <v>8.4192931908469798E-2</v>
      </c>
      <c r="AA288">
        <v>2.9695728572760498E-3</v>
      </c>
      <c r="AB288">
        <v>69</v>
      </c>
    </row>
    <row r="289" spans="1:28" x14ac:dyDescent="0.25">
      <c r="A289">
        <v>1424</v>
      </c>
      <c r="B289" s="1">
        <v>45448</v>
      </c>
      <c r="C289" t="s">
        <v>641</v>
      </c>
      <c r="D289">
        <v>4.71</v>
      </c>
      <c r="E289">
        <v>905</v>
      </c>
      <c r="F289" t="s">
        <v>28</v>
      </c>
      <c r="G289" t="s">
        <v>642</v>
      </c>
      <c r="H289">
        <v>14018</v>
      </c>
      <c r="I289">
        <f>VLOOKUP(H289,Sheet1!H:AE,2)</f>
        <v>3</v>
      </c>
      <c r="J289" t="str">
        <f>VLOOKUP(H289,Sheet1!H:T,3,FALSE)</f>
        <v>30"</v>
      </c>
      <c r="K289">
        <f>VLOOKUP($H289,Sheet1!H:$AE,4,FALSE)</f>
        <v>75000</v>
      </c>
      <c r="L289" t="str">
        <f>VLOOKUP($H289,Sheet1!$H:$AE,5,FALSE)</f>
        <v>black bear</v>
      </c>
      <c r="M289">
        <f>VLOOKUP($H289,Sheet1!$H:$AE,13,FALSE)</f>
        <v>2739</v>
      </c>
      <c r="N289">
        <v>2502.2934523976201</v>
      </c>
      <c r="O289">
        <v>1393939.91868649</v>
      </c>
      <c r="P289">
        <v>16367.7144487275</v>
      </c>
      <c r="Q289">
        <v>18058999.030170999</v>
      </c>
      <c r="R289">
        <v>0.37597434071943298</v>
      </c>
      <c r="S289">
        <v>3.2010494646032401E-3</v>
      </c>
      <c r="T289">
        <v>0.25235909066900297</v>
      </c>
      <c r="U289">
        <v>3.2511473743189198E-3</v>
      </c>
      <c r="V289">
        <v>0.99871052631578905</v>
      </c>
      <c r="W289">
        <v>1.2878109418256499E-3</v>
      </c>
      <c r="X289">
        <v>0.50419783438823995</v>
      </c>
      <c r="Y289">
        <v>0.249982378186798</v>
      </c>
      <c r="Z289">
        <v>0.111427559881838</v>
      </c>
      <c r="AA289">
        <v>9.6879540174686304E-4</v>
      </c>
      <c r="AB289">
        <v>106</v>
      </c>
    </row>
    <row r="290" spans="1:28" x14ac:dyDescent="0.25">
      <c r="A290">
        <v>1425</v>
      </c>
      <c r="B290" s="1">
        <v>45448</v>
      </c>
      <c r="C290" t="s">
        <v>643</v>
      </c>
      <c r="D290">
        <v>4.71</v>
      </c>
      <c r="E290">
        <v>905</v>
      </c>
      <c r="F290" t="s">
        <v>32</v>
      </c>
      <c r="G290" t="s">
        <v>644</v>
      </c>
      <c r="H290">
        <v>13018</v>
      </c>
      <c r="I290">
        <f>VLOOKUP(H290,Sheet1!H:AE,2)</f>
        <v>3</v>
      </c>
      <c r="J290" t="str">
        <f>VLOOKUP(H290,Sheet1!H:T,3,FALSE)</f>
        <v>30"</v>
      </c>
      <c r="K290">
        <f>VLOOKUP($H290,Sheet1!H:$AE,4,FALSE)</f>
        <v>75000</v>
      </c>
      <c r="L290" t="str">
        <f>VLOOKUP($H290,Sheet1!$H:$AE,5,FALSE)</f>
        <v>ETNA</v>
      </c>
      <c r="M290">
        <f>VLOOKUP($H290,Sheet1!$H:$AE,13,FALSE)</f>
        <v>791</v>
      </c>
      <c r="N290">
        <v>2566.8719531397601</v>
      </c>
      <c r="O290">
        <v>1304136.3155656799</v>
      </c>
      <c r="P290">
        <v>16333.8113869965</v>
      </c>
      <c r="Q290">
        <v>17290803.0169692</v>
      </c>
      <c r="R290">
        <v>0.35557423556831003</v>
      </c>
      <c r="S290">
        <v>2.5666565185404901E-3</v>
      </c>
      <c r="T290">
        <v>0.23126108306139301</v>
      </c>
      <c r="U290">
        <v>2.7242648934653999E-3</v>
      </c>
      <c r="V290">
        <v>0.96540789473684196</v>
      </c>
      <c r="W290">
        <v>3.3395491516662698E-2</v>
      </c>
      <c r="X290">
        <v>0.45383629539539899</v>
      </c>
      <c r="Y290">
        <v>0.24786891237741099</v>
      </c>
      <c r="Z290">
        <v>0.100795516765079</v>
      </c>
      <c r="AA290">
        <v>1.1483676572164199E-3</v>
      </c>
      <c r="AB290">
        <v>70</v>
      </c>
    </row>
    <row r="291" spans="1:28" x14ac:dyDescent="0.25">
      <c r="A291">
        <v>1426</v>
      </c>
      <c r="B291" s="1">
        <v>45448</v>
      </c>
      <c r="C291" t="s">
        <v>645</v>
      </c>
      <c r="D291">
        <v>4.71</v>
      </c>
      <c r="E291">
        <v>905</v>
      </c>
      <c r="F291" t="s">
        <v>36</v>
      </c>
      <c r="G291" t="s">
        <v>646</v>
      </c>
      <c r="H291">
        <v>12018</v>
      </c>
      <c r="I291">
        <f>VLOOKUP(H291,Sheet1!H:AE,2)</f>
        <v>3</v>
      </c>
      <c r="J291" t="str">
        <f>VLOOKUP(H291,Sheet1!H:T,3,FALSE)</f>
        <v>30"</v>
      </c>
      <c r="K291">
        <f>VLOOKUP($H291,Sheet1!H:$AE,4,FALSE)</f>
        <v>75000</v>
      </c>
      <c r="L291" t="str">
        <f>VLOOKUP($H291,Sheet1!$H:$AE,5,FALSE)</f>
        <v>Ronnies red</v>
      </c>
      <c r="M291">
        <f>VLOOKUP($H291,Sheet1!$H:$AE,13,FALSE)</f>
        <v>898</v>
      </c>
      <c r="N291">
        <v>2605.5566620710902</v>
      </c>
      <c r="O291">
        <v>1781507.9191550701</v>
      </c>
      <c r="P291">
        <v>16403.6485996177</v>
      </c>
      <c r="Q291">
        <v>17685733.862996802</v>
      </c>
      <c r="R291">
        <v>0.36028084200862298</v>
      </c>
      <c r="S291">
        <v>2.7545172503189398E-3</v>
      </c>
      <c r="T291">
        <v>0.228617223021475</v>
      </c>
      <c r="U291">
        <v>3.38151388914391E-3</v>
      </c>
      <c r="V291">
        <v>0.99269746450704599</v>
      </c>
      <c r="W291">
        <v>7.24920846832189E-3</v>
      </c>
      <c r="X291">
        <v>0.44240438873523003</v>
      </c>
      <c r="Y291">
        <v>0.246682745562911</v>
      </c>
      <c r="Z291">
        <v>0.101541433721954</v>
      </c>
      <c r="AA291">
        <v>8.1137284474565199E-4</v>
      </c>
      <c r="AB291">
        <v>70</v>
      </c>
    </row>
    <row r="292" spans="1:28" x14ac:dyDescent="0.25">
      <c r="A292">
        <v>1427</v>
      </c>
      <c r="B292" s="1">
        <v>45448</v>
      </c>
      <c r="C292" t="s">
        <v>647</v>
      </c>
      <c r="D292">
        <v>4.71</v>
      </c>
      <c r="E292">
        <v>905</v>
      </c>
      <c r="F292" t="s">
        <v>40</v>
      </c>
      <c r="G292" t="s">
        <v>648</v>
      </c>
      <c r="H292">
        <v>11018</v>
      </c>
      <c r="I292">
        <f>VLOOKUP(H292,Sheet1!H:AE,2)</f>
        <v>3</v>
      </c>
      <c r="J292" t="str">
        <f>VLOOKUP(H292,Sheet1!H:T,3,FALSE)</f>
        <v>30"</v>
      </c>
      <c r="K292">
        <f>VLOOKUP($H292,Sheet1!H:$AE,4,FALSE)</f>
        <v>75000</v>
      </c>
      <c r="L292" t="str">
        <f>VLOOKUP($H292,Sheet1!$H:$AE,5,FALSE)</f>
        <v>Merlot</v>
      </c>
      <c r="M292">
        <f>VLOOKUP($H292,Sheet1!$H:$AE,13,FALSE)</f>
        <v>1635</v>
      </c>
      <c r="N292">
        <v>2525.23493803055</v>
      </c>
      <c r="O292">
        <v>1040413.39480516</v>
      </c>
      <c r="P292">
        <v>17046.982591353499</v>
      </c>
      <c r="Q292">
        <v>14118321.336128401</v>
      </c>
      <c r="R292">
        <v>0.348290056757734</v>
      </c>
      <c r="S292">
        <v>2.0957778703850102E-3</v>
      </c>
      <c r="T292">
        <v>0.211254258240342</v>
      </c>
      <c r="U292">
        <v>1.6679894783676601E-3</v>
      </c>
      <c r="V292">
        <v>0.752924303627584</v>
      </c>
      <c r="W292">
        <v>0.18602929663468501</v>
      </c>
      <c r="X292">
        <v>0.34128224409062602</v>
      </c>
      <c r="Y292">
        <v>0.22480867395869</v>
      </c>
      <c r="Z292">
        <v>0.116475845461096</v>
      </c>
      <c r="AA292">
        <v>8.8454664812347703E-4</v>
      </c>
      <c r="AB292">
        <v>34</v>
      </c>
    </row>
    <row r="293" spans="1:28" x14ac:dyDescent="0.25">
      <c r="A293">
        <v>1428</v>
      </c>
      <c r="B293" s="1">
        <v>45448</v>
      </c>
      <c r="C293" t="s">
        <v>649</v>
      </c>
      <c r="D293">
        <v>4.71</v>
      </c>
      <c r="E293">
        <v>905</v>
      </c>
      <c r="F293" t="s">
        <v>44</v>
      </c>
      <c r="G293" t="s">
        <v>650</v>
      </c>
      <c r="H293">
        <v>10018</v>
      </c>
      <c r="I293">
        <f>VLOOKUP(H293,Sheet1!H:AE,2)</f>
        <v>3</v>
      </c>
      <c r="J293" t="str">
        <f>VLOOKUP(H293,Sheet1!H:T,3,FALSE)</f>
        <v>30"</v>
      </c>
      <c r="K293">
        <f>VLOOKUP($H293,Sheet1!H:$AE,4,FALSE)</f>
        <v>75000</v>
      </c>
      <c r="L293" t="str">
        <f>VLOOKUP($H293,Sheet1!$H:$AE,5,FALSE)</f>
        <v>Redhawk</v>
      </c>
      <c r="M293">
        <f>VLOOKUP($H293,Sheet1!$H:$AE,13,FALSE)</f>
        <v>791</v>
      </c>
      <c r="N293">
        <v>2645.7368255301299</v>
      </c>
      <c r="O293">
        <v>1881206.86025839</v>
      </c>
      <c r="P293">
        <v>17056.393193133801</v>
      </c>
      <c r="Q293">
        <v>19917862.334720802</v>
      </c>
      <c r="R293">
        <v>0.36866161353253601</v>
      </c>
      <c r="S293">
        <v>3.03180960353025E-3</v>
      </c>
      <c r="T293">
        <v>0.23249574578424201</v>
      </c>
      <c r="U293">
        <v>3.4250466618366E-3</v>
      </c>
      <c r="V293">
        <v>0.91435300928971797</v>
      </c>
      <c r="W293">
        <v>7.8311583692492401E-2</v>
      </c>
      <c r="X293">
        <v>0.44693497237388402</v>
      </c>
      <c r="Y293">
        <v>0.24718410284242001</v>
      </c>
      <c r="Z293">
        <v>7.7678776515304901E-2</v>
      </c>
      <c r="AA293">
        <v>1.12397102936487E-3</v>
      </c>
      <c r="AB293">
        <v>76</v>
      </c>
    </row>
    <row r="294" spans="1:28" x14ac:dyDescent="0.25">
      <c r="A294">
        <v>1429</v>
      </c>
      <c r="B294" s="1">
        <v>45448</v>
      </c>
      <c r="C294" t="s">
        <v>651</v>
      </c>
      <c r="D294">
        <v>4.71</v>
      </c>
      <c r="E294">
        <v>905</v>
      </c>
      <c r="F294" t="s">
        <v>48</v>
      </c>
      <c r="G294" t="s">
        <v>652</v>
      </c>
      <c r="H294">
        <v>9018</v>
      </c>
      <c r="I294">
        <f>VLOOKUP(H294,Sheet1!H:AE,2)</f>
        <v>3</v>
      </c>
      <c r="J294" t="str">
        <f>VLOOKUP(H294,Sheet1!H:T,3,FALSE)</f>
        <v>30"</v>
      </c>
      <c r="K294">
        <f>VLOOKUP($H294,Sheet1!H:$AE,4,FALSE)</f>
        <v>75000</v>
      </c>
      <c r="L294" t="str">
        <f>VLOOKUP($H294,Sheet1!$H:$AE,5,FALSE)</f>
        <v>Windbreaker</v>
      </c>
      <c r="M294">
        <f>VLOOKUP($H294,Sheet1!$H:$AE,13,FALSE)</f>
        <v>1609</v>
      </c>
      <c r="N294">
        <v>2578.0601486395699</v>
      </c>
      <c r="O294">
        <v>1915848.13502146</v>
      </c>
      <c r="P294">
        <v>16458.522355049401</v>
      </c>
      <c r="Q294">
        <v>16928085.0782637</v>
      </c>
      <c r="R294">
        <v>0.36268029283182501</v>
      </c>
      <c r="S294">
        <v>2.52499702713488E-3</v>
      </c>
      <c r="T294">
        <v>0.237427026893581</v>
      </c>
      <c r="U294">
        <v>3.1156437273741002E-3</v>
      </c>
      <c r="V294">
        <v>0.99775000000000003</v>
      </c>
      <c r="W294">
        <v>2.24493750000032E-3</v>
      </c>
      <c r="X294">
        <v>0.54984078411371995</v>
      </c>
      <c r="Y294">
        <v>0.24751589623876399</v>
      </c>
      <c r="Z294">
        <v>0.10209411788841601</v>
      </c>
      <c r="AA294">
        <v>8.5563714117808899E-4</v>
      </c>
      <c r="AB294">
        <v>71</v>
      </c>
    </row>
    <row r="295" spans="1:28" x14ac:dyDescent="0.25">
      <c r="A295">
        <v>1430</v>
      </c>
      <c r="B295" s="1">
        <v>45448</v>
      </c>
      <c r="C295" t="s">
        <v>653</v>
      </c>
      <c r="D295">
        <v>4.71</v>
      </c>
      <c r="E295">
        <v>905</v>
      </c>
      <c r="F295" t="s">
        <v>52</v>
      </c>
      <c r="G295" t="s">
        <v>654</v>
      </c>
      <c r="H295">
        <v>8018</v>
      </c>
      <c r="I295">
        <f>VLOOKUP(H295,Sheet1!H:AE,2)</f>
        <v>2</v>
      </c>
      <c r="J295" t="str">
        <f>VLOOKUP(H295,Sheet1!H:T,3,FALSE)</f>
        <v>30"</v>
      </c>
      <c r="K295">
        <f>VLOOKUP($H295,Sheet1!H:$AE,4,FALSE)</f>
        <v>75000</v>
      </c>
      <c r="L295" t="str">
        <f>VLOOKUP($H295,Sheet1!$H:$AE,5,FALSE)</f>
        <v>T9905</v>
      </c>
      <c r="M295">
        <f>VLOOKUP($H295,Sheet1!$H:$AE,13,FALSE)</f>
        <v>2449</v>
      </c>
      <c r="N295">
        <v>2629.9283104958899</v>
      </c>
      <c r="O295">
        <v>1313371.71806807</v>
      </c>
      <c r="P295">
        <v>16988.0726871603</v>
      </c>
      <c r="Q295">
        <v>15236473.6743879</v>
      </c>
      <c r="R295">
        <v>0.303041355305191</v>
      </c>
      <c r="S295">
        <v>2.83980674990341E-3</v>
      </c>
      <c r="T295">
        <v>0.21245929750669201</v>
      </c>
      <c r="U295">
        <v>2.0821125577215201E-3</v>
      </c>
      <c r="V295">
        <v>0.93818258375220398</v>
      </c>
      <c r="W295">
        <v>5.7996023296271099E-2</v>
      </c>
      <c r="X295">
        <v>0.46174568613219802</v>
      </c>
      <c r="Y295">
        <v>0.248536607470597</v>
      </c>
      <c r="Z295">
        <v>9.6373351045459299E-2</v>
      </c>
      <c r="AA295">
        <v>9.1612187112057898E-4</v>
      </c>
      <c r="AB295">
        <v>39</v>
      </c>
    </row>
    <row r="296" spans="1:28" x14ac:dyDescent="0.25">
      <c r="A296">
        <v>1431</v>
      </c>
      <c r="B296" s="1">
        <v>45448</v>
      </c>
      <c r="C296" t="s">
        <v>655</v>
      </c>
      <c r="D296">
        <v>4.71</v>
      </c>
      <c r="E296">
        <v>905</v>
      </c>
      <c r="F296" t="s">
        <v>56</v>
      </c>
      <c r="G296" t="s">
        <v>656</v>
      </c>
      <c r="H296">
        <v>7018</v>
      </c>
      <c r="I296">
        <f>VLOOKUP(H296,Sheet1!H:AE,2)</f>
        <v>2</v>
      </c>
      <c r="J296" t="str">
        <f>VLOOKUP(H296,Sheet1!H:T,3,FALSE)</f>
        <v>30"</v>
      </c>
      <c r="K296">
        <f>VLOOKUP($H296,Sheet1!H:$AE,4,FALSE)</f>
        <v>75000</v>
      </c>
      <c r="L296" t="str">
        <f>VLOOKUP($H296,Sheet1!$H:$AE,5,FALSE)</f>
        <v>Red Rover</v>
      </c>
      <c r="M296">
        <f>VLOOKUP($H296,Sheet1!$H:$AE,13,FALSE)</f>
        <v>686</v>
      </c>
      <c r="N296">
        <v>2597.2446428821399</v>
      </c>
      <c r="O296">
        <v>1749070.86707468</v>
      </c>
      <c r="P296">
        <v>16633.823813896499</v>
      </c>
      <c r="Q296">
        <v>17765133.852329101</v>
      </c>
      <c r="R296">
        <v>0.34514990774986998</v>
      </c>
      <c r="S296">
        <v>2.7232352572009598E-3</v>
      </c>
      <c r="T296">
        <v>0.22539441375757299</v>
      </c>
      <c r="U296">
        <v>3.6405642585151899E-3</v>
      </c>
      <c r="V296">
        <v>0.99340798147392795</v>
      </c>
      <c r="W296">
        <v>6.54856381782356E-3</v>
      </c>
      <c r="X296">
        <v>0.47615996233718599</v>
      </c>
      <c r="Y296">
        <v>0.24943165260396599</v>
      </c>
      <c r="Z296">
        <v>9.8175988430529396E-2</v>
      </c>
      <c r="AA296">
        <v>1.0032233712173801E-3</v>
      </c>
      <c r="AB296">
        <v>82</v>
      </c>
    </row>
    <row r="297" spans="1:28" x14ac:dyDescent="0.25">
      <c r="A297">
        <v>1432</v>
      </c>
      <c r="B297" s="1">
        <v>45448</v>
      </c>
      <c r="C297" t="s">
        <v>657</v>
      </c>
      <c r="D297">
        <v>4.71</v>
      </c>
      <c r="E297">
        <v>905</v>
      </c>
      <c r="F297" t="s">
        <v>60</v>
      </c>
      <c r="G297" t="s">
        <v>658</v>
      </c>
      <c r="H297">
        <v>6018</v>
      </c>
      <c r="I297">
        <f>VLOOKUP(H297,Sheet1!H:AE,2)</f>
        <v>2</v>
      </c>
      <c r="J297" t="str">
        <f>VLOOKUP(H297,Sheet1!H:T,3,FALSE)</f>
        <v>30"</v>
      </c>
      <c r="K297">
        <f>VLOOKUP($H297,Sheet1!H:$AE,4,FALSE)</f>
        <v>75000</v>
      </c>
      <c r="L297" t="str">
        <f>VLOOKUP($H297,Sheet1!$H:$AE,5,FALSE)</f>
        <v>Cayenne</v>
      </c>
      <c r="M297">
        <f>VLOOKUP($H297,Sheet1!$H:$AE,13,FALSE)</f>
        <v>2911</v>
      </c>
      <c r="N297">
        <v>2562.88060913137</v>
      </c>
      <c r="O297">
        <v>1364508.51810577</v>
      </c>
      <c r="P297">
        <v>17194.948587717899</v>
      </c>
      <c r="Q297">
        <v>16211351.2409114</v>
      </c>
      <c r="R297">
        <v>0.35060138819868603</v>
      </c>
      <c r="S297">
        <v>2.51580597392515E-3</v>
      </c>
      <c r="T297">
        <v>0.21158526120052901</v>
      </c>
      <c r="U297">
        <v>2.81518664117727E-3</v>
      </c>
      <c r="V297">
        <v>0.95563157894736805</v>
      </c>
      <c r="W297">
        <v>4.2399864265952998E-2</v>
      </c>
      <c r="X297">
        <v>0.426803193471821</v>
      </c>
      <c r="Y297">
        <v>0.24464222751390399</v>
      </c>
      <c r="Z297">
        <v>9.3056265944980301E-2</v>
      </c>
      <c r="AA297">
        <v>9.3336123640364304E-4</v>
      </c>
      <c r="AB297">
        <v>60</v>
      </c>
    </row>
    <row r="298" spans="1:28" x14ac:dyDescent="0.25">
      <c r="A298">
        <v>1433</v>
      </c>
      <c r="B298" s="1">
        <v>45448</v>
      </c>
      <c r="C298" t="s">
        <v>659</v>
      </c>
      <c r="D298">
        <v>4.71</v>
      </c>
      <c r="E298">
        <v>905</v>
      </c>
      <c r="F298" t="s">
        <v>64</v>
      </c>
      <c r="G298" t="s">
        <v>660</v>
      </c>
      <c r="H298">
        <v>5018</v>
      </c>
      <c r="I298">
        <f>VLOOKUP(H298,Sheet1!H:AE,2)</f>
        <v>2</v>
      </c>
      <c r="J298" t="str">
        <f>VLOOKUP(H298,Sheet1!H:T,3,FALSE)</f>
        <v>30"</v>
      </c>
      <c r="K298">
        <f>VLOOKUP($H298,Sheet1!H:$AE,4,FALSE)</f>
        <v>75000</v>
      </c>
      <c r="L298" t="str">
        <f>VLOOKUP($H298,Sheet1!$H:$AE,5,FALSE)</f>
        <v>Zorro</v>
      </c>
      <c r="M298">
        <f>VLOOKUP($H298,Sheet1!$H:$AE,13,FALSE)</f>
        <v>2213</v>
      </c>
      <c r="N298">
        <v>2761.2356975401499</v>
      </c>
      <c r="O298">
        <v>1541325.65051057</v>
      </c>
      <c r="P298">
        <v>16810.9830296603</v>
      </c>
      <c r="Q298">
        <v>13504376.991740501</v>
      </c>
      <c r="R298">
        <v>0.35519929854170301</v>
      </c>
      <c r="S298">
        <v>2.46518892464704E-3</v>
      </c>
      <c r="T298">
        <v>0.221113329113753</v>
      </c>
      <c r="U298">
        <v>3.4682567536375801E-3</v>
      </c>
      <c r="V298">
        <v>0.85886470696597295</v>
      </c>
      <c r="W298">
        <v>0.121216122094226</v>
      </c>
      <c r="X298">
        <v>0.41672987393419397</v>
      </c>
      <c r="Y298">
        <v>0.24306608610422101</v>
      </c>
      <c r="Z298">
        <v>8.5872909838574096E-2</v>
      </c>
      <c r="AA298">
        <v>8.7433742098954204E-4</v>
      </c>
      <c r="AB298">
        <v>77</v>
      </c>
    </row>
    <row r="299" spans="1:28" x14ac:dyDescent="0.25">
      <c r="A299">
        <v>1434</v>
      </c>
      <c r="B299" s="1">
        <v>45448</v>
      </c>
      <c r="C299" t="s">
        <v>661</v>
      </c>
      <c r="D299">
        <v>4.71</v>
      </c>
      <c r="E299">
        <v>905</v>
      </c>
      <c r="F299" t="s">
        <v>68</v>
      </c>
      <c r="G299" t="s">
        <v>662</v>
      </c>
      <c r="H299">
        <v>4018</v>
      </c>
      <c r="I299">
        <f>VLOOKUP(H299,Sheet1!H:AE,2)</f>
        <v>1</v>
      </c>
      <c r="J299" t="str">
        <f>VLOOKUP(H299,Sheet1!H:T,3,FALSE)</f>
        <v>30"</v>
      </c>
      <c r="K299">
        <f>VLOOKUP($H299,Sheet1!H:$AE,4,FALSE)</f>
        <v>75000</v>
      </c>
      <c r="L299" t="str">
        <f>VLOOKUP($H299,Sheet1!$H:$AE,5,FALSE)</f>
        <v>Red Dawn</v>
      </c>
      <c r="M299">
        <f>VLOOKUP($H299,Sheet1!$H:$AE,13,FALSE)</f>
        <v>813</v>
      </c>
      <c r="N299">
        <v>2590.31726092585</v>
      </c>
      <c r="O299">
        <v>2108601.73895502</v>
      </c>
      <c r="P299">
        <v>16394.147639246599</v>
      </c>
      <c r="Q299">
        <v>15866597.314425901</v>
      </c>
      <c r="R299">
        <v>0.36000956252437299</v>
      </c>
      <c r="S299">
        <v>2.4836647271962299E-3</v>
      </c>
      <c r="T299">
        <v>0.234321197979172</v>
      </c>
      <c r="U299">
        <v>3.6605846275741599E-3</v>
      </c>
      <c r="V299">
        <v>0.98714456769168002</v>
      </c>
      <c r="W299">
        <v>1.26901701684832E-2</v>
      </c>
      <c r="X299">
        <v>0.42951019047058497</v>
      </c>
      <c r="Y299">
        <v>0.24503118675279201</v>
      </c>
      <c r="Z299">
        <v>9.0307155243878806E-2</v>
      </c>
      <c r="AA299">
        <v>9.5910824056944801E-4</v>
      </c>
      <c r="AB299">
        <v>75</v>
      </c>
    </row>
    <row r="300" spans="1:28" x14ac:dyDescent="0.25">
      <c r="A300">
        <v>1435</v>
      </c>
      <c r="B300" s="1">
        <v>45448</v>
      </c>
      <c r="C300" t="s">
        <v>663</v>
      </c>
      <c r="D300">
        <v>4.71</v>
      </c>
      <c r="E300">
        <v>905</v>
      </c>
      <c r="F300" t="s">
        <v>72</v>
      </c>
      <c r="G300" t="s">
        <v>664</v>
      </c>
      <c r="H300">
        <v>3018</v>
      </c>
      <c r="I300">
        <f>VLOOKUP(H300,Sheet1!H:AE,2)</f>
        <v>1</v>
      </c>
      <c r="J300" t="str">
        <f>VLOOKUP(H300,Sheet1!H:T,3,FALSE)</f>
        <v>30"</v>
      </c>
      <c r="K300">
        <f>VLOOKUP($H300,Sheet1!H:$AE,4,FALSE)</f>
        <v>75000</v>
      </c>
      <c r="L300" t="str">
        <f>VLOOKUP($H300,Sheet1!$H:$AE,5,FALSE)</f>
        <v>Apex</v>
      </c>
      <c r="M300">
        <f>VLOOKUP($H300,Sheet1!$H:$AE,13,FALSE)</f>
        <v>2345</v>
      </c>
      <c r="N300">
        <v>2488.2684087505399</v>
      </c>
      <c r="O300">
        <v>1656815.0295845401</v>
      </c>
      <c r="P300">
        <v>16671.8344142356</v>
      </c>
      <c r="Q300">
        <v>15721906.9434069</v>
      </c>
      <c r="R300">
        <v>0.36021927653970398</v>
      </c>
      <c r="S300">
        <v>2.38257515262361E-3</v>
      </c>
      <c r="T300">
        <v>0.23436633570314899</v>
      </c>
      <c r="U300">
        <v>3.0224351502979199E-3</v>
      </c>
      <c r="V300">
        <v>0.957699038195861</v>
      </c>
      <c r="W300">
        <v>4.0511590434528497E-2</v>
      </c>
      <c r="X300">
        <v>0.48083486994389701</v>
      </c>
      <c r="Y300">
        <v>0.24963269778997499</v>
      </c>
      <c r="Z300">
        <v>9.4957034091235501E-2</v>
      </c>
      <c r="AA300">
        <v>8.4252624967331795E-4</v>
      </c>
      <c r="AB300">
        <v>75</v>
      </c>
    </row>
    <row r="301" spans="1:28" x14ac:dyDescent="0.25">
      <c r="A301">
        <v>1436</v>
      </c>
      <c r="B301" s="1">
        <v>45448</v>
      </c>
      <c r="C301" t="s">
        <v>665</v>
      </c>
      <c r="D301">
        <v>4.71</v>
      </c>
      <c r="E301">
        <v>905</v>
      </c>
      <c r="F301" t="s">
        <v>76</v>
      </c>
      <c r="G301" t="s">
        <v>666</v>
      </c>
      <c r="H301">
        <v>2018</v>
      </c>
      <c r="I301">
        <f>VLOOKUP(H301,Sheet1!H:AE,2)</f>
        <v>1</v>
      </c>
      <c r="J301" t="str">
        <f>VLOOKUP(H301,Sheet1!H:T,3,FALSE)</f>
        <v>30"</v>
      </c>
      <c r="K301">
        <f>VLOOKUP($H301,Sheet1!H:$AE,4,FALSE)</f>
        <v>75000</v>
      </c>
      <c r="L301" t="str">
        <f>VLOOKUP($H301,Sheet1!$H:$AE,5,FALSE)</f>
        <v>CLERK</v>
      </c>
      <c r="M301">
        <f>VLOOKUP($H301,Sheet1!$H:$AE,13,FALSE)</f>
        <v>902</v>
      </c>
      <c r="N301">
        <v>2650.2706220738601</v>
      </c>
      <c r="O301">
        <v>1669575.74696469</v>
      </c>
      <c r="P301">
        <v>16945.266989133801</v>
      </c>
      <c r="Q301">
        <v>15058858.2827274</v>
      </c>
      <c r="R301">
        <v>0.34722295216909699</v>
      </c>
      <c r="S301">
        <v>2.0661374838974798E-3</v>
      </c>
      <c r="T301">
        <v>0.21963377597832101</v>
      </c>
      <c r="U301">
        <v>2.5310522592657098E-3</v>
      </c>
      <c r="V301">
        <v>0.88963012671219399</v>
      </c>
      <c r="W301">
        <v>9.8188364358310895E-2</v>
      </c>
      <c r="X301">
        <v>0.46138304410937703</v>
      </c>
      <c r="Y301">
        <v>0.248508730717693</v>
      </c>
      <c r="Z301">
        <v>0.10455132394219099</v>
      </c>
      <c r="AA301">
        <v>9.9505154427514996E-4</v>
      </c>
      <c r="AB301">
        <v>77</v>
      </c>
    </row>
    <row r="302" spans="1:28" x14ac:dyDescent="0.25">
      <c r="A302">
        <v>1437</v>
      </c>
      <c r="B302" s="1">
        <v>45448</v>
      </c>
      <c r="C302" t="s">
        <v>667</v>
      </c>
      <c r="D302">
        <v>4.71</v>
      </c>
      <c r="E302">
        <v>905</v>
      </c>
      <c r="F302" t="s">
        <v>79</v>
      </c>
      <c r="G302" t="s">
        <v>668</v>
      </c>
      <c r="H302">
        <v>1018</v>
      </c>
      <c r="I302">
        <f>VLOOKUP(H302,Sheet1!H:AE,2)</f>
        <v>1</v>
      </c>
      <c r="J302" t="str">
        <f>VLOOKUP(H302,Sheet1!H:T,3,FALSE)</f>
        <v>30"</v>
      </c>
      <c r="K302">
        <f>VLOOKUP($H302,Sheet1!H:$AE,4,FALSE)</f>
        <v>75000</v>
      </c>
      <c r="L302" t="str">
        <f>VLOOKUP($H302,Sheet1!$H:$AE,5,FALSE)</f>
        <v>Eclipse</v>
      </c>
      <c r="M302">
        <f>VLOOKUP($H302,Sheet1!$H:$AE,13,FALSE)</f>
        <v>1865</v>
      </c>
      <c r="N302">
        <v>2210.7926869379598</v>
      </c>
      <c r="O302">
        <v>1127729.3957000501</v>
      </c>
      <c r="P302">
        <v>16736.0157867134</v>
      </c>
      <c r="Q302">
        <v>14639748.464870701</v>
      </c>
      <c r="R302">
        <v>0.36942309912438398</v>
      </c>
      <c r="S302">
        <v>2.6876704108452598E-3</v>
      </c>
      <c r="T302">
        <v>0.22744125867745901</v>
      </c>
      <c r="U302">
        <v>2.9540242221277502E-3</v>
      </c>
      <c r="V302">
        <v>0.91736842105263205</v>
      </c>
      <c r="W302">
        <v>7.5803601108286406E-2</v>
      </c>
      <c r="X302">
        <v>0.393253431151389</v>
      </c>
      <c r="Y302">
        <v>0.23860517003897999</v>
      </c>
      <c r="Z302">
        <v>0</v>
      </c>
      <c r="AA302">
        <v>0</v>
      </c>
      <c r="AB302">
        <v>81</v>
      </c>
    </row>
    <row r="303" spans="1:28" x14ac:dyDescent="0.25">
      <c r="A303">
        <v>1438</v>
      </c>
      <c r="B303" s="1">
        <v>45448</v>
      </c>
      <c r="C303" t="s">
        <v>669</v>
      </c>
      <c r="D303">
        <v>4.71</v>
      </c>
      <c r="E303">
        <v>905</v>
      </c>
      <c r="F303" t="s">
        <v>24</v>
      </c>
      <c r="G303" t="s">
        <v>670</v>
      </c>
      <c r="H303">
        <v>15022</v>
      </c>
      <c r="I303">
        <f>VLOOKUP(H303,Sheet1!H:AE,2)</f>
        <v>4</v>
      </c>
      <c r="J303" t="str">
        <f>VLOOKUP(H303,Sheet1!H:T,3,FALSE)</f>
        <v>30"</v>
      </c>
      <c r="K303">
        <f>VLOOKUP($H303,Sheet1!H:$AE,4,FALSE)</f>
        <v>150000</v>
      </c>
      <c r="L303" t="str">
        <f>VLOOKUP($H303,Sheet1!$H:$AE,5,FALSE)</f>
        <v>Ronnies red</v>
      </c>
      <c r="M303">
        <f>VLOOKUP($H303,Sheet1!$H:$AE,13,FALSE)</f>
        <v>773</v>
      </c>
      <c r="N303">
        <v>2280.9488998992301</v>
      </c>
      <c r="O303">
        <v>1538268.60587327</v>
      </c>
      <c r="P303">
        <v>15852.4940298028</v>
      </c>
      <c r="Q303">
        <v>18220247.6732664</v>
      </c>
      <c r="R303">
        <v>0.38058051908197699</v>
      </c>
      <c r="S303">
        <v>2.4471071463079501E-3</v>
      </c>
      <c r="T303">
        <v>0.25130322452933501</v>
      </c>
      <c r="U303">
        <v>3.53712603805258E-3</v>
      </c>
      <c r="V303">
        <v>0.99998684210526301</v>
      </c>
      <c r="W303" s="2">
        <v>1.31577216066313E-5</v>
      </c>
      <c r="X303">
        <v>0.36154158002798498</v>
      </c>
      <c r="Y303">
        <v>0.23082926593907799</v>
      </c>
      <c r="Z303">
        <v>8.4192931908469798E-2</v>
      </c>
      <c r="AA303">
        <v>2.9695728572760498E-3</v>
      </c>
      <c r="AB303">
        <v>86</v>
      </c>
    </row>
    <row r="304" spans="1:28" x14ac:dyDescent="0.25">
      <c r="A304">
        <v>1439</v>
      </c>
      <c r="B304" s="1">
        <v>45448</v>
      </c>
      <c r="C304" t="s">
        <v>671</v>
      </c>
      <c r="D304">
        <v>4.71</v>
      </c>
      <c r="E304">
        <v>905</v>
      </c>
      <c r="F304" t="s">
        <v>28</v>
      </c>
      <c r="G304" t="s">
        <v>672</v>
      </c>
      <c r="H304">
        <v>14022</v>
      </c>
      <c r="I304">
        <f>VLOOKUP(H304,Sheet1!H:AE,2)</f>
        <v>3</v>
      </c>
      <c r="J304" t="str">
        <f>VLOOKUP(H304,Sheet1!H:T,3,FALSE)</f>
        <v>30"</v>
      </c>
      <c r="K304">
        <f>VLOOKUP($H304,Sheet1!H:$AE,4,FALSE)</f>
        <v>150000</v>
      </c>
      <c r="L304" t="str">
        <f>VLOOKUP($H304,Sheet1!$H:$AE,5,FALSE)</f>
        <v>Redhawk</v>
      </c>
      <c r="M304">
        <f>VLOOKUP($H304,Sheet1!$H:$AE,13,FALSE)</f>
        <v>549</v>
      </c>
      <c r="N304">
        <v>2217.3071319098899</v>
      </c>
      <c r="O304">
        <v>1262454.18200969</v>
      </c>
      <c r="P304">
        <v>15919.971539578301</v>
      </c>
      <c r="Q304">
        <v>18251735.6512537</v>
      </c>
      <c r="R304">
        <v>0.38234903080538901</v>
      </c>
      <c r="S304">
        <v>2.77462484202155E-3</v>
      </c>
      <c r="T304">
        <v>0.25800766412911502</v>
      </c>
      <c r="U304">
        <v>3.1420747607191E-3</v>
      </c>
      <c r="V304">
        <v>0.99852629639863699</v>
      </c>
      <c r="W304">
        <v>1.4715317990609501E-3</v>
      </c>
      <c r="X304">
        <v>0.28216093216681698</v>
      </c>
      <c r="Y304">
        <v>0.20254614052523801</v>
      </c>
      <c r="Z304">
        <v>0.122500601830116</v>
      </c>
      <c r="AA304">
        <v>9.4867054703888802E-4</v>
      </c>
      <c r="AB304">
        <v>102</v>
      </c>
    </row>
    <row r="305" spans="1:28" x14ac:dyDescent="0.25">
      <c r="A305">
        <v>1440</v>
      </c>
      <c r="B305" s="1">
        <v>45448</v>
      </c>
      <c r="C305" t="s">
        <v>673</v>
      </c>
      <c r="D305">
        <v>4.71</v>
      </c>
      <c r="E305">
        <v>905</v>
      </c>
      <c r="F305" t="s">
        <v>32</v>
      </c>
      <c r="G305" t="s">
        <v>674</v>
      </c>
      <c r="H305">
        <v>13022</v>
      </c>
      <c r="I305">
        <f>VLOOKUP(H305,Sheet1!H:AE,2)</f>
        <v>3</v>
      </c>
      <c r="J305" t="str">
        <f>VLOOKUP(H305,Sheet1!H:T,3,FALSE)</f>
        <v>30"</v>
      </c>
      <c r="K305">
        <f>VLOOKUP($H305,Sheet1!H:$AE,4,FALSE)</f>
        <v>150000</v>
      </c>
      <c r="L305" t="str">
        <f>VLOOKUP($H305,Sheet1!$H:$AE,5,FALSE)</f>
        <v>Cayenne</v>
      </c>
      <c r="M305">
        <f>VLOOKUP($H305,Sheet1!$H:$AE,13,FALSE)</f>
        <v>1721</v>
      </c>
      <c r="N305">
        <v>2196.5035586067902</v>
      </c>
      <c r="O305">
        <v>1212469.6634785801</v>
      </c>
      <c r="P305">
        <v>15548.4450436599</v>
      </c>
      <c r="Q305">
        <v>18627760.633372001</v>
      </c>
      <c r="R305">
        <v>0.37290373164127399</v>
      </c>
      <c r="S305">
        <v>3.3112131288627199E-3</v>
      </c>
      <c r="T305">
        <v>0.25293386294647602</v>
      </c>
      <c r="U305">
        <v>4.7447710684814098E-3</v>
      </c>
      <c r="V305">
        <v>0.99788157894736795</v>
      </c>
      <c r="W305">
        <v>2.11393334487767E-3</v>
      </c>
      <c r="X305">
        <v>0.28736391277340001</v>
      </c>
      <c r="Y305">
        <v>0.20478589440938</v>
      </c>
      <c r="Z305">
        <v>0.100795516765079</v>
      </c>
      <c r="AA305">
        <v>1.1483676572164199E-3</v>
      </c>
      <c r="AB305">
        <v>86</v>
      </c>
    </row>
    <row r="306" spans="1:28" x14ac:dyDescent="0.25">
      <c r="A306">
        <v>1441</v>
      </c>
      <c r="B306" s="1">
        <v>45448</v>
      </c>
      <c r="C306" t="s">
        <v>675</v>
      </c>
      <c r="D306">
        <v>4.71</v>
      </c>
      <c r="E306">
        <v>905</v>
      </c>
      <c r="F306" t="s">
        <v>36</v>
      </c>
      <c r="G306" t="s">
        <v>676</v>
      </c>
      <c r="H306">
        <v>12022</v>
      </c>
      <c r="I306">
        <f>VLOOKUP(H306,Sheet1!H:AE,2)</f>
        <v>3</v>
      </c>
      <c r="J306" t="str">
        <f>VLOOKUP(H306,Sheet1!H:T,3,FALSE)</f>
        <v>30"</v>
      </c>
      <c r="K306">
        <f>VLOOKUP($H306,Sheet1!H:$AE,4,FALSE)</f>
        <v>150000</v>
      </c>
      <c r="L306" t="str">
        <f>VLOOKUP($H306,Sheet1!$H:$AE,5,FALSE)</f>
        <v>Red Dawn</v>
      </c>
      <c r="M306">
        <f>VLOOKUP($H306,Sheet1!$H:$AE,13,FALSE)</f>
        <v>508</v>
      </c>
      <c r="N306">
        <v>2456.94512562111</v>
      </c>
      <c r="O306">
        <v>2528916.7443258599</v>
      </c>
      <c r="P306">
        <v>15610.3723733841</v>
      </c>
      <c r="Q306">
        <v>21780450.5851578</v>
      </c>
      <c r="R306">
        <v>0.38070476949805399</v>
      </c>
      <c r="S306">
        <v>3.9713378386829496E-3</v>
      </c>
      <c r="T306">
        <v>0.25841391203718</v>
      </c>
      <c r="U306">
        <v>6.9965249416772202E-3</v>
      </c>
      <c r="V306">
        <v>0.99973684210526303</v>
      </c>
      <c r="W306">
        <v>2.6308864265955602E-4</v>
      </c>
      <c r="X306">
        <v>0.29234642168241398</v>
      </c>
      <c r="Y306">
        <v>0.20687999141178701</v>
      </c>
      <c r="Z306">
        <v>0.101541433721954</v>
      </c>
      <c r="AA306">
        <v>8.1137284474565199E-4</v>
      </c>
      <c r="AB306">
        <v>98</v>
      </c>
    </row>
    <row r="307" spans="1:28" x14ac:dyDescent="0.25">
      <c r="A307">
        <v>1442</v>
      </c>
      <c r="B307" s="1">
        <v>45448</v>
      </c>
      <c r="C307" t="s">
        <v>677</v>
      </c>
      <c r="D307">
        <v>4.71</v>
      </c>
      <c r="E307">
        <v>905</v>
      </c>
      <c r="F307" t="s">
        <v>40</v>
      </c>
      <c r="G307" t="s">
        <v>678</v>
      </c>
      <c r="H307">
        <v>11022</v>
      </c>
      <c r="I307">
        <f>VLOOKUP(H307,Sheet1!H:AE,2)</f>
        <v>3</v>
      </c>
      <c r="J307" t="str">
        <f>VLOOKUP(H307,Sheet1!H:T,3,FALSE)</f>
        <v>30"</v>
      </c>
      <c r="K307">
        <f>VLOOKUP($H307,Sheet1!H:$AE,4,FALSE)</f>
        <v>150000</v>
      </c>
      <c r="L307" t="str">
        <f>VLOOKUP($H307,Sheet1!$H:$AE,5,FALSE)</f>
        <v>Windbreaker</v>
      </c>
      <c r="M307">
        <f>VLOOKUP($H307,Sheet1!$H:$AE,13,FALSE)</f>
        <v>1968</v>
      </c>
      <c r="N307">
        <v>2705.6201713134001</v>
      </c>
      <c r="O307">
        <v>2351305.4357043998</v>
      </c>
      <c r="P307">
        <v>16209.0419271343</v>
      </c>
      <c r="Q307">
        <v>17997347.808172502</v>
      </c>
      <c r="R307">
        <v>0.349830058163209</v>
      </c>
      <c r="S307">
        <v>3.12261620281038E-3</v>
      </c>
      <c r="T307">
        <v>0.23800471191014899</v>
      </c>
      <c r="U307">
        <v>5.7001295453645998E-3</v>
      </c>
      <c r="V307">
        <v>0.99701311859366604</v>
      </c>
      <c r="W307">
        <v>2.9779599457972002E-3</v>
      </c>
      <c r="X307">
        <v>0.47200172618969699</v>
      </c>
      <c r="Y307">
        <v>0.24921609666352501</v>
      </c>
      <c r="Z307">
        <v>0.116475845461096</v>
      </c>
      <c r="AA307">
        <v>8.8454664812347703E-4</v>
      </c>
      <c r="AB307">
        <v>77</v>
      </c>
    </row>
    <row r="308" spans="1:28" x14ac:dyDescent="0.25">
      <c r="A308">
        <v>1443</v>
      </c>
      <c r="B308" s="1">
        <v>45448</v>
      </c>
      <c r="C308" t="s">
        <v>679</v>
      </c>
      <c r="D308">
        <v>4.71</v>
      </c>
      <c r="E308">
        <v>905</v>
      </c>
      <c r="F308" t="s">
        <v>44</v>
      </c>
      <c r="G308" t="s">
        <v>680</v>
      </c>
      <c r="H308">
        <v>10022</v>
      </c>
      <c r="I308">
        <f>VLOOKUP(H308,Sheet1!H:AE,2)</f>
        <v>3</v>
      </c>
      <c r="J308" t="str">
        <f>VLOOKUP(H308,Sheet1!H:T,3,FALSE)</f>
        <v>30"</v>
      </c>
      <c r="K308">
        <f>VLOOKUP($H308,Sheet1!H:$AE,4,FALSE)</f>
        <v>150000</v>
      </c>
      <c r="L308" t="str">
        <f>VLOOKUP($H308,Sheet1!$H:$AE,5,FALSE)</f>
        <v>Nautica</v>
      </c>
      <c r="M308">
        <f>VLOOKUP($H308,Sheet1!$H:$AE,13,FALSE)</f>
        <v>2354</v>
      </c>
      <c r="N308">
        <v>2929.7356693469901</v>
      </c>
      <c r="O308">
        <v>4167323.71894333</v>
      </c>
      <c r="P308">
        <v>16174.4136065406</v>
      </c>
      <c r="Q308">
        <v>18876582.8711177</v>
      </c>
      <c r="R308">
        <v>0.321918108758736</v>
      </c>
      <c r="S308">
        <v>3.6627486119207402E-3</v>
      </c>
      <c r="T308">
        <v>0.23826883088295001</v>
      </c>
      <c r="U308">
        <v>6.3245731059393103E-3</v>
      </c>
      <c r="V308">
        <v>0.97984184002421104</v>
      </c>
      <c r="W308">
        <v>1.97518085621857E-2</v>
      </c>
      <c r="X308">
        <v>0.35768322904202299</v>
      </c>
      <c r="Y308">
        <v>0.229745936704361</v>
      </c>
      <c r="Z308">
        <v>7.7678776515304901E-2</v>
      </c>
      <c r="AA308">
        <v>1.12397102936487E-3</v>
      </c>
      <c r="AB308">
        <v>85</v>
      </c>
    </row>
    <row r="309" spans="1:28" x14ac:dyDescent="0.25">
      <c r="A309">
        <v>1444</v>
      </c>
      <c r="B309" s="1">
        <v>45448</v>
      </c>
      <c r="C309" t="s">
        <v>681</v>
      </c>
      <c r="D309">
        <v>4.71</v>
      </c>
      <c r="E309">
        <v>905</v>
      </c>
      <c r="F309" t="s">
        <v>48</v>
      </c>
      <c r="G309" t="s">
        <v>682</v>
      </c>
      <c r="H309">
        <v>9022</v>
      </c>
      <c r="I309">
        <f>VLOOKUP(H309,Sheet1!H:AE,2)</f>
        <v>3</v>
      </c>
      <c r="J309" t="str">
        <f>VLOOKUP(H309,Sheet1!H:T,3,FALSE)</f>
        <v>30"</v>
      </c>
      <c r="K309">
        <f>VLOOKUP($H309,Sheet1!H:$AE,4,FALSE)</f>
        <v>150000</v>
      </c>
      <c r="L309" t="str">
        <f>VLOOKUP($H309,Sheet1!$H:$AE,5,FALSE)</f>
        <v>Eclipse</v>
      </c>
      <c r="M309">
        <f>VLOOKUP($H309,Sheet1!$H:$AE,13,FALSE)</f>
        <v>2317</v>
      </c>
      <c r="N309">
        <v>2339.9596131371</v>
      </c>
      <c r="O309">
        <v>1386157.7996118099</v>
      </c>
      <c r="P309">
        <v>15834.4342534566</v>
      </c>
      <c r="Q309">
        <v>20520651.267336302</v>
      </c>
      <c r="R309">
        <v>0.35835543159514899</v>
      </c>
      <c r="S309">
        <v>4.0995572110878002E-3</v>
      </c>
      <c r="T309">
        <v>0.23318592662953799</v>
      </c>
      <c r="U309">
        <v>6.4860132847327596E-3</v>
      </c>
      <c r="V309">
        <v>0.99997368490302896</v>
      </c>
      <c r="W309" s="2">
        <v>2.6314404486797601E-5</v>
      </c>
      <c r="X309">
        <v>0.39433764875114402</v>
      </c>
      <c r="Y309">
        <v>0.23883546752906201</v>
      </c>
      <c r="Z309">
        <v>0.10209411788841601</v>
      </c>
      <c r="AA309">
        <v>8.5563714117808899E-4</v>
      </c>
      <c r="AB309">
        <v>136</v>
      </c>
    </row>
    <row r="310" spans="1:28" x14ac:dyDescent="0.25">
      <c r="A310">
        <v>1445</v>
      </c>
      <c r="B310" s="1">
        <v>45448</v>
      </c>
      <c r="C310" t="s">
        <v>683</v>
      </c>
      <c r="D310">
        <v>4.71</v>
      </c>
      <c r="E310">
        <v>905</v>
      </c>
      <c r="F310" t="s">
        <v>52</v>
      </c>
      <c r="G310" t="s">
        <v>684</v>
      </c>
      <c r="H310">
        <v>8022</v>
      </c>
      <c r="I310">
        <f>VLOOKUP(H310,Sheet1!H:AE,2)</f>
        <v>2</v>
      </c>
      <c r="J310" t="str">
        <f>VLOOKUP(H310,Sheet1!H:T,3,FALSE)</f>
        <v>30"</v>
      </c>
      <c r="K310">
        <f>VLOOKUP($H310,Sheet1!H:$AE,4,FALSE)</f>
        <v>150000</v>
      </c>
      <c r="L310" t="str">
        <f>VLOOKUP($H310,Sheet1!$H:$AE,5,FALSE)</f>
        <v>ETNA</v>
      </c>
      <c r="M310">
        <f>VLOOKUP($H310,Sheet1!$H:$AE,13,FALSE)</f>
        <v>506</v>
      </c>
      <c r="N310">
        <v>2379.56336865089</v>
      </c>
      <c r="O310">
        <v>2119291.4709344301</v>
      </c>
      <c r="P310">
        <v>16018.9931051679</v>
      </c>
      <c r="Q310">
        <v>23982190.874065399</v>
      </c>
      <c r="R310">
        <v>0.37034291289099402</v>
      </c>
      <c r="S310">
        <v>3.7164763056646002E-3</v>
      </c>
      <c r="T310">
        <v>0.247608102259119</v>
      </c>
      <c r="U310">
        <v>6.2847661390560998E-3</v>
      </c>
      <c r="V310">
        <v>0.99915789473684202</v>
      </c>
      <c r="W310">
        <v>8.4139612188389101E-4</v>
      </c>
      <c r="X310">
        <v>0.373747016706443</v>
      </c>
      <c r="Y310">
        <v>0.23406018420910499</v>
      </c>
      <c r="Z310">
        <v>0.107804401875876</v>
      </c>
      <c r="AA310">
        <v>1.1746046050085601E-3</v>
      </c>
      <c r="AB310">
        <v>100</v>
      </c>
    </row>
    <row r="311" spans="1:28" x14ac:dyDescent="0.25">
      <c r="A311">
        <v>1446</v>
      </c>
      <c r="B311" s="1">
        <v>45448</v>
      </c>
      <c r="C311" t="s">
        <v>685</v>
      </c>
      <c r="D311">
        <v>4.71</v>
      </c>
      <c r="E311">
        <v>905</v>
      </c>
      <c r="F311" t="s">
        <v>56</v>
      </c>
      <c r="G311" t="s">
        <v>686</v>
      </c>
      <c r="H311">
        <v>7022</v>
      </c>
      <c r="I311">
        <f>VLOOKUP(H311,Sheet1!H:AE,2)</f>
        <v>2</v>
      </c>
      <c r="J311" t="str">
        <f>VLOOKUP(H311,Sheet1!H:T,3,FALSE)</f>
        <v>30"</v>
      </c>
      <c r="K311">
        <f>VLOOKUP($H311,Sheet1!H:$AE,4,FALSE)</f>
        <v>150000</v>
      </c>
      <c r="L311" t="str">
        <f>VLOOKUP($H311,Sheet1!$H:$AE,5,FALSE)</f>
        <v>CLERK</v>
      </c>
      <c r="M311">
        <f>VLOOKUP($H311,Sheet1!$H:$AE,13,FALSE)</f>
        <v>1062</v>
      </c>
      <c r="N311">
        <v>2507.83109975856</v>
      </c>
      <c r="O311">
        <v>2127857.74136667</v>
      </c>
      <c r="P311">
        <v>16288.7096526528</v>
      </c>
      <c r="Q311">
        <v>19766529.962939501</v>
      </c>
      <c r="R311">
        <v>0.36839226258776497</v>
      </c>
      <c r="S311">
        <v>3.2887235105980802E-3</v>
      </c>
      <c r="T311">
        <v>0.247185329508878</v>
      </c>
      <c r="U311">
        <v>5.4054692777068796E-3</v>
      </c>
      <c r="V311">
        <v>0.99876314162028401</v>
      </c>
      <c r="W311">
        <v>1.2353285610605001E-3</v>
      </c>
      <c r="X311">
        <v>0.38899023781033998</v>
      </c>
      <c r="Y311">
        <v>0.23767683269905601</v>
      </c>
      <c r="Z311">
        <v>9.6373351045459299E-2</v>
      </c>
      <c r="AA311">
        <v>9.1612187112057898E-4</v>
      </c>
      <c r="AB311">
        <v>84</v>
      </c>
    </row>
    <row r="312" spans="1:28" x14ac:dyDescent="0.25">
      <c r="A312">
        <v>1447</v>
      </c>
      <c r="B312" s="1">
        <v>45448</v>
      </c>
      <c r="C312" t="s">
        <v>687</v>
      </c>
      <c r="D312">
        <v>4.71</v>
      </c>
      <c r="E312">
        <v>905</v>
      </c>
      <c r="F312" t="s">
        <v>60</v>
      </c>
      <c r="G312" t="s">
        <v>688</v>
      </c>
      <c r="H312">
        <v>6022</v>
      </c>
      <c r="I312">
        <f>VLOOKUP(H312,Sheet1!H:AE,2)</f>
        <v>2</v>
      </c>
      <c r="J312" t="str">
        <f>VLOOKUP(H312,Sheet1!H:T,3,FALSE)</f>
        <v>30"</v>
      </c>
      <c r="K312">
        <f>VLOOKUP($H312,Sheet1!H:$AE,4,FALSE)</f>
        <v>150000</v>
      </c>
      <c r="L312" t="str">
        <f>VLOOKUP($H312,Sheet1!$H:$AE,5,FALSE)</f>
        <v>Apex</v>
      </c>
      <c r="M312">
        <f>VLOOKUP($H312,Sheet1!$H:$AE,13,FALSE)</f>
        <v>2398</v>
      </c>
      <c r="N312">
        <v>2559.6140355788202</v>
      </c>
      <c r="O312">
        <v>2808462.5395138199</v>
      </c>
      <c r="P312">
        <v>16633.887798465901</v>
      </c>
      <c r="Q312">
        <v>18126111.415396001</v>
      </c>
      <c r="R312">
        <v>0.371953958862968</v>
      </c>
      <c r="S312">
        <v>2.9985885639441999E-3</v>
      </c>
      <c r="T312">
        <v>0.25040999713155299</v>
      </c>
      <c r="U312">
        <v>5.0683436899706998E-3</v>
      </c>
      <c r="V312">
        <v>0.99394736842105302</v>
      </c>
      <c r="W312">
        <v>6.0159972299280301E-3</v>
      </c>
      <c r="X312">
        <v>0.36241957420097298</v>
      </c>
      <c r="Y312">
        <v>0.231071626437136</v>
      </c>
      <c r="Z312">
        <v>9.3056265944980301E-2</v>
      </c>
      <c r="AA312">
        <v>9.3336123640364304E-4</v>
      </c>
      <c r="AB312">
        <v>87</v>
      </c>
    </row>
    <row r="313" spans="1:28" x14ac:dyDescent="0.25">
      <c r="A313">
        <v>1448</v>
      </c>
      <c r="B313" s="1">
        <v>45448</v>
      </c>
      <c r="C313" t="s">
        <v>689</v>
      </c>
      <c r="D313">
        <v>4.71</v>
      </c>
      <c r="E313">
        <v>905</v>
      </c>
      <c r="F313" t="s">
        <v>64</v>
      </c>
      <c r="G313" t="s">
        <v>690</v>
      </c>
      <c r="H313">
        <v>5022</v>
      </c>
      <c r="I313">
        <f>VLOOKUP(H313,Sheet1!H:AE,2)</f>
        <v>2</v>
      </c>
      <c r="J313" t="str">
        <f>VLOOKUP(H313,Sheet1!H:T,3,FALSE)</f>
        <v>30"</v>
      </c>
      <c r="K313">
        <f>VLOOKUP($H313,Sheet1!H:$AE,4,FALSE)</f>
        <v>150000</v>
      </c>
      <c r="L313" t="str">
        <f>VLOOKUP($H313,Sheet1!$H:$AE,5,FALSE)</f>
        <v>Zorro</v>
      </c>
      <c r="M313">
        <f>VLOOKUP($H313,Sheet1!$H:$AE,13,FALSE)</f>
        <v>2424</v>
      </c>
      <c r="N313">
        <v>2431.0137303614501</v>
      </c>
      <c r="O313">
        <v>2612663.0677984701</v>
      </c>
      <c r="P313">
        <v>15407.6816448105</v>
      </c>
      <c r="Q313">
        <v>17017630.562106699</v>
      </c>
      <c r="R313">
        <v>0.36597730729642503</v>
      </c>
      <c r="S313">
        <v>3.89131575307285E-3</v>
      </c>
      <c r="T313">
        <v>0.25237238915342702</v>
      </c>
      <c r="U313">
        <v>7.6459603123398097E-3</v>
      </c>
      <c r="V313">
        <v>0.99996052735454299</v>
      </c>
      <c r="W313" s="2">
        <v>3.9471087366878301E-5</v>
      </c>
      <c r="X313">
        <v>0.45180336872940302</v>
      </c>
      <c r="Y313">
        <v>0.247677084734473</v>
      </c>
      <c r="Z313">
        <v>8.5872909838574096E-2</v>
      </c>
      <c r="AA313">
        <v>8.7433742098954204E-4</v>
      </c>
      <c r="AB313">
        <v>72</v>
      </c>
    </row>
    <row r="314" spans="1:28" x14ac:dyDescent="0.25">
      <c r="A314">
        <v>1449</v>
      </c>
      <c r="B314" s="1">
        <v>45448</v>
      </c>
      <c r="C314" t="s">
        <v>691</v>
      </c>
      <c r="D314">
        <v>4.71</v>
      </c>
      <c r="E314">
        <v>905</v>
      </c>
      <c r="F314" t="s">
        <v>68</v>
      </c>
      <c r="G314" t="s">
        <v>692</v>
      </c>
      <c r="H314">
        <v>4022</v>
      </c>
      <c r="I314">
        <f>VLOOKUP(H314,Sheet1!H:AE,2)</f>
        <v>1</v>
      </c>
      <c r="J314" t="str">
        <f>VLOOKUP(H314,Sheet1!H:T,3,FALSE)</f>
        <v>30"</v>
      </c>
      <c r="K314">
        <f>VLOOKUP($H314,Sheet1!H:$AE,4,FALSE)</f>
        <v>150000</v>
      </c>
      <c r="L314" t="str">
        <f>VLOOKUP($H314,Sheet1!$H:$AE,5,FALSE)</f>
        <v>Merlot</v>
      </c>
      <c r="M314">
        <f>VLOOKUP($H314,Sheet1!$H:$AE,13,FALSE)</f>
        <v>1453</v>
      </c>
      <c r="N314">
        <v>2177.9915671756698</v>
      </c>
      <c r="O314">
        <v>870007.06262570794</v>
      </c>
      <c r="P314">
        <v>16133.101338744</v>
      </c>
      <c r="Q314">
        <v>12909810.334776901</v>
      </c>
      <c r="R314">
        <v>0.35571999656869202</v>
      </c>
      <c r="S314">
        <v>2.56237202853813E-3</v>
      </c>
      <c r="T314">
        <v>0.229197882506674</v>
      </c>
      <c r="U314">
        <v>3.3359696359377602E-3</v>
      </c>
      <c r="V314">
        <v>0.92621052631578904</v>
      </c>
      <c r="W314">
        <v>6.8344587257635703E-2</v>
      </c>
      <c r="X314">
        <v>0.27165256509173602</v>
      </c>
      <c r="Y314">
        <v>0.19785744897061699</v>
      </c>
      <c r="Z314">
        <v>9.0307155243878806E-2</v>
      </c>
      <c r="AA314">
        <v>9.5910824056944801E-4</v>
      </c>
      <c r="AB314">
        <v>54</v>
      </c>
    </row>
    <row r="315" spans="1:28" x14ac:dyDescent="0.25">
      <c r="A315">
        <v>1451</v>
      </c>
      <c r="B315" s="1">
        <v>45448</v>
      </c>
      <c r="C315" t="s">
        <v>693</v>
      </c>
      <c r="D315">
        <v>4.71</v>
      </c>
      <c r="E315">
        <v>905</v>
      </c>
      <c r="F315" t="s">
        <v>76</v>
      </c>
      <c r="G315" t="s">
        <v>694</v>
      </c>
      <c r="H315">
        <v>2022</v>
      </c>
      <c r="I315">
        <f>VLOOKUP(H315,Sheet1!H:AE,2)</f>
        <v>1</v>
      </c>
      <c r="J315" t="str">
        <f>VLOOKUP(H315,Sheet1!H:T,3,FALSE)</f>
        <v>30"</v>
      </c>
      <c r="K315">
        <f>VLOOKUP($H315,Sheet1!H:$AE,4,FALSE)</f>
        <v>150000</v>
      </c>
      <c r="L315" t="str">
        <f>VLOOKUP($H315,Sheet1!$H:$AE,5,FALSE)</f>
        <v>T9905</v>
      </c>
      <c r="M315">
        <f>VLOOKUP($H315,Sheet1!$H:$AE,13,FALSE)</f>
        <v>781</v>
      </c>
      <c r="N315">
        <v>2472.1519878510499</v>
      </c>
      <c r="O315">
        <v>1329585.02207344</v>
      </c>
      <c r="P315">
        <v>16506.371046312001</v>
      </c>
      <c r="Q315">
        <v>14655067.674047399</v>
      </c>
      <c r="R315">
        <v>0.36964234104698401</v>
      </c>
      <c r="S315">
        <v>2.5122017437555801E-3</v>
      </c>
      <c r="T315">
        <v>0.23766200763360101</v>
      </c>
      <c r="U315">
        <v>3.57349988115877E-3</v>
      </c>
      <c r="V315">
        <v>0.99986842278391097</v>
      </c>
      <c r="W315">
        <v>1.3155990352549301E-4</v>
      </c>
      <c r="X315">
        <v>0.10726125478144299</v>
      </c>
      <c r="Y315">
        <v>9.5756278004204901E-2</v>
      </c>
      <c r="Z315">
        <v>0.10455132394219099</v>
      </c>
      <c r="AA315">
        <v>9.9505154427514996E-4</v>
      </c>
      <c r="AB315">
        <v>101</v>
      </c>
    </row>
    <row r="316" spans="1:28" x14ac:dyDescent="0.25">
      <c r="A316">
        <v>1453</v>
      </c>
      <c r="B316" s="1">
        <v>45448</v>
      </c>
      <c r="C316" t="s">
        <v>695</v>
      </c>
      <c r="D316">
        <v>4.71</v>
      </c>
      <c r="E316">
        <v>905</v>
      </c>
      <c r="F316" t="s">
        <v>82</v>
      </c>
      <c r="G316" t="s">
        <v>696</v>
      </c>
      <c r="H316">
        <v>1023</v>
      </c>
      <c r="I316">
        <f>VLOOKUP(H316,Sheet1!H:AE,2)</f>
        <v>1</v>
      </c>
      <c r="J316" t="str">
        <f>VLOOKUP(H316,Sheet1!H:T,3,FALSE)</f>
        <v>30"</v>
      </c>
      <c r="K316">
        <f>VLOOKUP($H316,Sheet1!H:$AE,4,FALSE)</f>
        <v>100000</v>
      </c>
      <c r="L316" t="str">
        <f>VLOOKUP($H316,Sheet1!$H:$AE,5,FALSE)</f>
        <v>Redhawk</v>
      </c>
      <c r="M316">
        <f>VLOOKUP($H316,Sheet1!$H:$AE,13,FALSE)</f>
        <v>89</v>
      </c>
      <c r="N316">
        <v>2338.159750021</v>
      </c>
      <c r="O316">
        <v>1352224.6310247199</v>
      </c>
      <c r="P316">
        <v>16044.370315931499</v>
      </c>
      <c r="Q316">
        <v>16326846.9538658</v>
      </c>
      <c r="R316">
        <v>0.368791622191808</v>
      </c>
      <c r="S316">
        <v>2.6440315080566699E-3</v>
      </c>
      <c r="T316">
        <v>0.228210234556222</v>
      </c>
      <c r="U316">
        <v>3.7961365307245202E-3</v>
      </c>
      <c r="V316">
        <v>0.84078528382325801</v>
      </c>
      <c r="W316">
        <v>0.13386539032952799</v>
      </c>
      <c r="X316">
        <v>0.21707119317884599</v>
      </c>
      <c r="Y316">
        <v>0.16995129027113301</v>
      </c>
      <c r="Z316">
        <v>0</v>
      </c>
      <c r="AA316">
        <v>0</v>
      </c>
      <c r="AB316">
        <v>73</v>
      </c>
    </row>
    <row r="317" spans="1:28" x14ac:dyDescent="0.25">
      <c r="A317">
        <v>1455</v>
      </c>
      <c r="B317" s="1">
        <v>45448</v>
      </c>
      <c r="C317" t="s">
        <v>697</v>
      </c>
      <c r="D317">
        <v>4.71</v>
      </c>
      <c r="E317">
        <v>905</v>
      </c>
      <c r="F317" t="s">
        <v>88</v>
      </c>
      <c r="G317" t="s">
        <v>698</v>
      </c>
      <c r="H317">
        <v>3023</v>
      </c>
      <c r="I317">
        <f>VLOOKUP(H317,Sheet1!H:AE,2)</f>
        <v>1</v>
      </c>
      <c r="J317" t="str">
        <f>VLOOKUP(H317,Sheet1!H:T,3,FALSE)</f>
        <v>30"</v>
      </c>
      <c r="K317">
        <f>VLOOKUP($H317,Sheet1!H:$AE,4,FALSE)</f>
        <v>100000</v>
      </c>
      <c r="L317" t="str">
        <f>VLOOKUP($H317,Sheet1!$H:$AE,5,FALSE)</f>
        <v>Merlot</v>
      </c>
      <c r="M317">
        <f>VLOOKUP($H317,Sheet1!$H:$AE,13,FALSE)</f>
        <v>652</v>
      </c>
      <c r="N317">
        <v>2042.6539228653601</v>
      </c>
      <c r="O317">
        <v>857835.91431207</v>
      </c>
      <c r="P317">
        <v>15813.514870197299</v>
      </c>
      <c r="Q317">
        <v>15434355.173033301</v>
      </c>
      <c r="R317">
        <v>0.37541918109332001</v>
      </c>
      <c r="S317">
        <v>2.4834591092530501E-3</v>
      </c>
      <c r="T317">
        <v>0.23472223649145099</v>
      </c>
      <c r="U317">
        <v>3.2609302151967098E-3</v>
      </c>
      <c r="V317">
        <v>0.872654543540619</v>
      </c>
      <c r="W317">
        <v>0.111128591178241</v>
      </c>
      <c r="X317">
        <v>0.18147104401101</v>
      </c>
      <c r="Y317">
        <v>0.14853930419629</v>
      </c>
      <c r="Z317">
        <v>9.4957034091235501E-2</v>
      </c>
      <c r="AA317">
        <v>8.4252624967331795E-4</v>
      </c>
      <c r="AB317">
        <v>55</v>
      </c>
    </row>
    <row r="318" spans="1:28" x14ac:dyDescent="0.25">
      <c r="A318">
        <v>1457</v>
      </c>
      <c r="B318" s="1">
        <v>45448</v>
      </c>
      <c r="C318" t="s">
        <v>699</v>
      </c>
      <c r="D318">
        <v>4.71</v>
      </c>
      <c r="E318">
        <v>905</v>
      </c>
      <c r="F318" t="s">
        <v>94</v>
      </c>
      <c r="G318" t="s">
        <v>700</v>
      </c>
      <c r="H318">
        <v>5023</v>
      </c>
      <c r="I318">
        <f>VLOOKUP(H318,Sheet1!H:AE,2)</f>
        <v>2</v>
      </c>
      <c r="J318" t="str">
        <f>VLOOKUP(H318,Sheet1!H:T,3,FALSE)</f>
        <v>30"</v>
      </c>
      <c r="K318">
        <f>VLOOKUP($H318,Sheet1!H:$AE,4,FALSE)</f>
        <v>100000</v>
      </c>
      <c r="L318" t="str">
        <f>VLOOKUP($H318,Sheet1!$H:$AE,5,FALSE)</f>
        <v>Apex</v>
      </c>
      <c r="M318">
        <f>VLOOKUP($H318,Sheet1!$H:$AE,13,FALSE)</f>
        <v>1813</v>
      </c>
      <c r="N318">
        <v>2238.4236147074098</v>
      </c>
      <c r="O318">
        <v>1956591.6011012299</v>
      </c>
      <c r="P318">
        <v>15529.169558141601</v>
      </c>
      <c r="Q318">
        <v>16964202.192407601</v>
      </c>
      <c r="R318">
        <v>0.377969043331365</v>
      </c>
      <c r="S318">
        <v>2.62444018901664E-3</v>
      </c>
      <c r="T318">
        <v>0.25656820415328202</v>
      </c>
      <c r="U318">
        <v>4.4625625326670396E-3</v>
      </c>
      <c r="V318">
        <v>0.99697368421052601</v>
      </c>
      <c r="W318">
        <v>3.01715720221941E-3</v>
      </c>
      <c r="X318">
        <v>0.469859744335828</v>
      </c>
      <c r="Y318">
        <v>0.24909156498826701</v>
      </c>
      <c r="Z318">
        <v>8.5872909838574096E-2</v>
      </c>
      <c r="AA318">
        <v>8.7433742098954204E-4</v>
      </c>
      <c r="AB318">
        <v>99</v>
      </c>
    </row>
    <row r="319" spans="1:28" x14ac:dyDescent="0.25">
      <c r="A319">
        <v>1458</v>
      </c>
      <c r="B319" s="1">
        <v>45448</v>
      </c>
      <c r="C319" t="s">
        <v>701</v>
      </c>
      <c r="D319">
        <v>4.71</v>
      </c>
      <c r="E319">
        <v>905</v>
      </c>
      <c r="F319" t="s">
        <v>97</v>
      </c>
      <c r="G319" t="s">
        <v>702</v>
      </c>
      <c r="H319">
        <v>6023</v>
      </c>
      <c r="I319">
        <f>VLOOKUP(H319,Sheet1!H:AE,2)</f>
        <v>2</v>
      </c>
      <c r="J319" t="str">
        <f>VLOOKUP(H319,Sheet1!H:T,3,FALSE)</f>
        <v>30"</v>
      </c>
      <c r="K319">
        <f>VLOOKUP($H319,Sheet1!H:$AE,4,FALSE)</f>
        <v>100000</v>
      </c>
      <c r="L319" t="str">
        <f>VLOOKUP($H319,Sheet1!$H:$AE,5,FALSE)</f>
        <v>CLERK</v>
      </c>
      <c r="M319">
        <f>VLOOKUP($H319,Sheet1!$H:$AE,13,FALSE)</f>
        <v>502</v>
      </c>
      <c r="N319">
        <v>2268.73280893529</v>
      </c>
      <c r="O319">
        <v>1523851.6878150699</v>
      </c>
      <c r="P319">
        <v>16283.105441808801</v>
      </c>
      <c r="Q319">
        <v>17339792.561317701</v>
      </c>
      <c r="R319">
        <v>0.37801769678962199</v>
      </c>
      <c r="S319">
        <v>2.7106430507406799E-3</v>
      </c>
      <c r="T319">
        <v>0.251148805839635</v>
      </c>
      <c r="U319">
        <v>2.99993438077985E-3</v>
      </c>
      <c r="V319">
        <v>0.98946052631578996</v>
      </c>
      <c r="W319">
        <v>1.04283931787027E-2</v>
      </c>
      <c r="X319">
        <v>0.38955765521299901</v>
      </c>
      <c r="Y319">
        <v>0.23780248847768301</v>
      </c>
      <c r="Z319">
        <v>9.3056265944980301E-2</v>
      </c>
      <c r="AA319">
        <v>9.3336123640364304E-4</v>
      </c>
      <c r="AB319">
        <v>97</v>
      </c>
    </row>
    <row r="320" spans="1:28" x14ac:dyDescent="0.25">
      <c r="A320">
        <v>1459</v>
      </c>
      <c r="B320" s="1">
        <v>45448</v>
      </c>
      <c r="C320" t="s">
        <v>703</v>
      </c>
      <c r="D320">
        <v>4.71</v>
      </c>
      <c r="E320">
        <v>905</v>
      </c>
      <c r="F320" t="s">
        <v>100</v>
      </c>
      <c r="G320" t="s">
        <v>704</v>
      </c>
      <c r="H320">
        <v>7023</v>
      </c>
      <c r="I320">
        <f>VLOOKUP(H320,Sheet1!H:AE,2)</f>
        <v>2</v>
      </c>
      <c r="J320" t="str">
        <f>VLOOKUP(H320,Sheet1!H:T,3,FALSE)</f>
        <v>30"</v>
      </c>
      <c r="K320">
        <f>VLOOKUP($H320,Sheet1!H:$AE,4,FALSE)</f>
        <v>100000</v>
      </c>
      <c r="L320" t="str">
        <f>VLOOKUP($H320,Sheet1!$H:$AE,5,FALSE)</f>
        <v>ETNA</v>
      </c>
      <c r="M320">
        <f>VLOOKUP($H320,Sheet1!$H:$AE,13,FALSE)</f>
        <v>835</v>
      </c>
      <c r="N320">
        <v>2319.6975422685</v>
      </c>
      <c r="O320">
        <v>1430121.8580070799</v>
      </c>
      <c r="P320">
        <v>16067.761560303799</v>
      </c>
      <c r="Q320">
        <v>17062592.1298704</v>
      </c>
      <c r="R320">
        <v>0.37546274165176602</v>
      </c>
      <c r="S320">
        <v>3.1088960371985401E-3</v>
      </c>
      <c r="T320">
        <v>0.250847491595172</v>
      </c>
      <c r="U320">
        <v>4.7612033117943797E-3</v>
      </c>
      <c r="V320">
        <v>0.97086957093798898</v>
      </c>
      <c r="W320">
        <v>2.8281847164468899E-2</v>
      </c>
      <c r="X320">
        <v>0.38128771978004</v>
      </c>
      <c r="Y320">
        <v>0.23590739452516499</v>
      </c>
      <c r="Z320">
        <v>9.6373351045459299E-2</v>
      </c>
      <c r="AA320">
        <v>9.1612187112057898E-4</v>
      </c>
      <c r="AB320">
        <v>85</v>
      </c>
    </row>
    <row r="321" spans="1:28" x14ac:dyDescent="0.25">
      <c r="A321">
        <v>1461</v>
      </c>
      <c r="B321" s="1">
        <v>45448</v>
      </c>
      <c r="C321" t="s">
        <v>705</v>
      </c>
      <c r="D321">
        <v>4.71</v>
      </c>
      <c r="E321">
        <v>905</v>
      </c>
      <c r="F321" t="s">
        <v>106</v>
      </c>
      <c r="G321" t="s">
        <v>706</v>
      </c>
      <c r="H321">
        <v>9023</v>
      </c>
      <c r="I321">
        <f>VLOOKUP(H321,Sheet1!H:AE,2)</f>
        <v>3</v>
      </c>
      <c r="J321" t="str">
        <f>VLOOKUP(H321,Sheet1!H:T,3,FALSE)</f>
        <v>30"</v>
      </c>
      <c r="K321">
        <f>VLOOKUP($H321,Sheet1!H:$AE,4,FALSE)</f>
        <v>100000</v>
      </c>
      <c r="L321" t="str">
        <f>VLOOKUP($H321,Sheet1!$H:$AE,5,FALSE)</f>
        <v>Zorro</v>
      </c>
      <c r="M321">
        <f>VLOOKUP($H321,Sheet1!$H:$AE,13,FALSE)</f>
        <v>2008</v>
      </c>
      <c r="N321">
        <v>2267.0593932607899</v>
      </c>
      <c r="O321">
        <v>1728552.1376180099</v>
      </c>
      <c r="P321">
        <v>15844.115578929899</v>
      </c>
      <c r="Q321">
        <v>17033556.731662601</v>
      </c>
      <c r="R321">
        <v>0.351079186673733</v>
      </c>
      <c r="S321">
        <v>2.9927391215913298E-3</v>
      </c>
      <c r="T321">
        <v>0.219388202071366</v>
      </c>
      <c r="U321">
        <v>4.2941831823207002E-3</v>
      </c>
      <c r="V321">
        <v>0.95355263157894699</v>
      </c>
      <c r="W321">
        <v>4.4290010387912103E-2</v>
      </c>
      <c r="X321">
        <v>0.44283883454516898</v>
      </c>
      <c r="Y321">
        <v>0.24673260116413001</v>
      </c>
      <c r="Z321">
        <v>0.10209411788841601</v>
      </c>
      <c r="AA321">
        <v>8.5563714117808899E-4</v>
      </c>
      <c r="AB321">
        <v>89</v>
      </c>
    </row>
    <row r="322" spans="1:28" x14ac:dyDescent="0.25">
      <c r="A322">
        <v>1462</v>
      </c>
      <c r="B322" s="1">
        <v>45448</v>
      </c>
      <c r="C322" t="s">
        <v>707</v>
      </c>
      <c r="D322">
        <v>4.71</v>
      </c>
      <c r="E322">
        <v>905</v>
      </c>
      <c r="F322" t="s">
        <v>109</v>
      </c>
      <c r="G322" t="s">
        <v>708</v>
      </c>
      <c r="H322">
        <v>10023</v>
      </c>
      <c r="I322">
        <f>VLOOKUP(H322,Sheet1!H:AE,2)</f>
        <v>3</v>
      </c>
      <c r="J322" t="str">
        <f>VLOOKUP(H322,Sheet1!H:T,3,FALSE)</f>
        <v>30"</v>
      </c>
      <c r="K322">
        <f>VLOOKUP($H322,Sheet1!H:$AE,4,FALSE)</f>
        <v>100000</v>
      </c>
      <c r="L322" t="str">
        <f>VLOOKUP($H322,Sheet1!$H:$AE,5,FALSE)</f>
        <v>Red Rover</v>
      </c>
      <c r="M322">
        <f>VLOOKUP($H322,Sheet1!$H:$AE,13,FALSE)</f>
        <v>532</v>
      </c>
      <c r="N322">
        <v>2655.89930157042</v>
      </c>
      <c r="O322">
        <v>1728996.02996702</v>
      </c>
      <c r="P322">
        <v>16247.371127243799</v>
      </c>
      <c r="Q322">
        <v>17541863.114054698</v>
      </c>
      <c r="R322">
        <v>0.31492409023574702</v>
      </c>
      <c r="S322">
        <v>3.5498450152169E-3</v>
      </c>
      <c r="T322">
        <v>0.224691925367969</v>
      </c>
      <c r="U322">
        <v>4.3799220492527803E-3</v>
      </c>
      <c r="V322">
        <v>0.99982894736842098</v>
      </c>
      <c r="W322">
        <v>1.71023372575769E-4</v>
      </c>
      <c r="X322">
        <v>0.42295570754161799</v>
      </c>
      <c r="Y322">
        <v>0.24406417699942901</v>
      </c>
      <c r="Z322">
        <v>7.7678776515304901E-2</v>
      </c>
      <c r="AA322">
        <v>1.12397102936487E-3</v>
      </c>
      <c r="AB322">
        <v>84</v>
      </c>
    </row>
    <row r="323" spans="1:28" x14ac:dyDescent="0.25">
      <c r="A323">
        <v>1463</v>
      </c>
      <c r="B323" s="1">
        <v>45448</v>
      </c>
      <c r="C323" t="s">
        <v>709</v>
      </c>
      <c r="D323">
        <v>4.71</v>
      </c>
      <c r="E323">
        <v>905</v>
      </c>
      <c r="F323" t="s">
        <v>112</v>
      </c>
      <c r="G323" t="s">
        <v>710</v>
      </c>
      <c r="H323">
        <v>11023</v>
      </c>
      <c r="I323">
        <f>VLOOKUP(H323,Sheet1!H:AE,2)</f>
        <v>3</v>
      </c>
      <c r="J323" t="str">
        <f>VLOOKUP(H323,Sheet1!H:T,3,FALSE)</f>
        <v>30"</v>
      </c>
      <c r="K323">
        <f>VLOOKUP($H323,Sheet1!H:$AE,4,FALSE)</f>
        <v>100000</v>
      </c>
      <c r="L323" t="str">
        <f>VLOOKUP($H323,Sheet1!$H:$AE,5,FALSE)</f>
        <v>Nautica</v>
      </c>
      <c r="M323">
        <f>VLOOKUP($H323,Sheet1!$H:$AE,13,FALSE)</f>
        <v>1653</v>
      </c>
      <c r="N323">
        <v>2703.01885287202</v>
      </c>
      <c r="O323">
        <v>2274344.8071269002</v>
      </c>
      <c r="P323">
        <v>16622.129975294501</v>
      </c>
      <c r="Q323">
        <v>16052566.5660288</v>
      </c>
      <c r="R323">
        <v>0.33853847857392599</v>
      </c>
      <c r="S323">
        <v>2.4818491372540002E-3</v>
      </c>
      <c r="T323">
        <v>0.22377282785073899</v>
      </c>
      <c r="U323">
        <v>3.1370491897446898E-3</v>
      </c>
      <c r="V323">
        <v>0.97106578947368405</v>
      </c>
      <c r="W323">
        <v>2.80970219875059E-2</v>
      </c>
      <c r="X323">
        <v>0.39241648521940398</v>
      </c>
      <c r="Y323">
        <v>0.23842578734776201</v>
      </c>
      <c r="Z323">
        <v>0.116475845461096</v>
      </c>
      <c r="AA323">
        <v>8.8454664812347703E-4</v>
      </c>
      <c r="AB323">
        <v>80</v>
      </c>
    </row>
    <row r="324" spans="1:28" x14ac:dyDescent="0.25">
      <c r="A324">
        <v>1464</v>
      </c>
      <c r="B324" s="1">
        <v>45448</v>
      </c>
      <c r="C324" t="s">
        <v>711</v>
      </c>
      <c r="D324">
        <v>4.71</v>
      </c>
      <c r="E324">
        <v>905</v>
      </c>
      <c r="F324" t="s">
        <v>115</v>
      </c>
      <c r="G324" t="s">
        <v>712</v>
      </c>
      <c r="H324">
        <v>12023</v>
      </c>
      <c r="I324">
        <f>VLOOKUP(H324,Sheet1!H:AE,2)</f>
        <v>3</v>
      </c>
      <c r="J324" t="str">
        <f>VLOOKUP(H324,Sheet1!H:T,3,FALSE)</f>
        <v>30"</v>
      </c>
      <c r="K324">
        <f>VLOOKUP($H324,Sheet1!H:$AE,4,FALSE)</f>
        <v>100000</v>
      </c>
      <c r="L324" t="str">
        <f>VLOOKUP($H324,Sheet1!$H:$AE,5,FALSE)</f>
        <v>black bear</v>
      </c>
      <c r="M324">
        <f>VLOOKUP($H324,Sheet1!$H:$AE,13,FALSE)</f>
        <v>1802</v>
      </c>
      <c r="N324">
        <v>2143.23707451573</v>
      </c>
      <c r="O324">
        <v>1143762.25108909</v>
      </c>
      <c r="P324">
        <v>15745.6784371216</v>
      </c>
      <c r="Q324">
        <v>18162500.5403312</v>
      </c>
      <c r="R324">
        <v>0.37130862963824202</v>
      </c>
      <c r="S324">
        <v>3.12563373902263E-3</v>
      </c>
      <c r="T324">
        <v>0.24335288901813201</v>
      </c>
      <c r="U324">
        <v>3.52029398354178E-3</v>
      </c>
      <c r="V324">
        <v>0.99675008552406497</v>
      </c>
      <c r="W324">
        <v>3.2393525318308298E-3</v>
      </c>
      <c r="X324">
        <v>0.33979573154783699</v>
      </c>
      <c r="Y324">
        <v>0.224334592369972</v>
      </c>
      <c r="Z324">
        <v>0.101541433721954</v>
      </c>
      <c r="AA324">
        <v>8.1137284474565199E-4</v>
      </c>
      <c r="AB324">
        <v>85</v>
      </c>
    </row>
    <row r="325" spans="1:28" x14ac:dyDescent="0.25">
      <c r="A325">
        <v>1465</v>
      </c>
      <c r="B325" s="1">
        <v>45448</v>
      </c>
      <c r="C325" t="s">
        <v>713</v>
      </c>
      <c r="D325">
        <v>4.71</v>
      </c>
      <c r="E325">
        <v>905</v>
      </c>
      <c r="F325" t="s">
        <v>118</v>
      </c>
      <c r="G325" t="s">
        <v>714</v>
      </c>
      <c r="H325">
        <v>13023</v>
      </c>
      <c r="I325">
        <f>VLOOKUP(H325,Sheet1!H:AE,2)</f>
        <v>3</v>
      </c>
      <c r="J325" t="str">
        <f>VLOOKUP(H325,Sheet1!H:T,3,FALSE)</f>
        <v>30"</v>
      </c>
      <c r="K325">
        <f>VLOOKUP($H325,Sheet1!H:$AE,4,FALSE)</f>
        <v>100000</v>
      </c>
      <c r="L325" t="str">
        <f>VLOOKUP($H325,Sheet1!$H:$AE,5,FALSE)</f>
        <v>Red Dawn</v>
      </c>
      <c r="M325">
        <f>VLOOKUP($H325,Sheet1!$H:$AE,13,FALSE)</f>
        <v>259</v>
      </c>
      <c r="N325">
        <v>2117.0191537901701</v>
      </c>
      <c r="O325">
        <v>1546717.3634991299</v>
      </c>
      <c r="P325">
        <v>16078.1812350166</v>
      </c>
      <c r="Q325">
        <v>18673217.033456299</v>
      </c>
      <c r="R325">
        <v>0.37715675769205498</v>
      </c>
      <c r="S325">
        <v>2.70872331732831E-3</v>
      </c>
      <c r="T325">
        <v>0.25433264815902001</v>
      </c>
      <c r="U325">
        <v>3.3952744238757099E-3</v>
      </c>
      <c r="V325">
        <v>0.99921051592784105</v>
      </c>
      <c r="W325">
        <v>7.8886078705898998E-4</v>
      </c>
      <c r="X325">
        <v>0.31609507307025803</v>
      </c>
      <c r="Y325">
        <v>0.21617897785106299</v>
      </c>
      <c r="Z325">
        <v>0.100795516765079</v>
      </c>
      <c r="AA325">
        <v>1.1483676572164199E-3</v>
      </c>
      <c r="AB325">
        <v>76</v>
      </c>
    </row>
    <row r="326" spans="1:28" x14ac:dyDescent="0.25">
      <c r="A326">
        <v>1467</v>
      </c>
      <c r="B326" s="1">
        <v>45448</v>
      </c>
      <c r="C326" t="s">
        <v>715</v>
      </c>
      <c r="D326">
        <v>4.71</v>
      </c>
      <c r="E326">
        <v>905</v>
      </c>
      <c r="F326" t="s">
        <v>124</v>
      </c>
      <c r="G326" t="s">
        <v>716</v>
      </c>
      <c r="H326">
        <v>15023</v>
      </c>
      <c r="I326">
        <f>VLOOKUP(H326,Sheet1!H:AE,2)</f>
        <v>4</v>
      </c>
      <c r="J326" t="str">
        <f>VLOOKUP(H326,Sheet1!H:T,3,FALSE)</f>
        <v>30"</v>
      </c>
      <c r="K326">
        <f>VLOOKUP($H326,Sheet1!H:$AE,4,FALSE)</f>
        <v>100000</v>
      </c>
      <c r="L326" t="str">
        <f>VLOOKUP($H326,Sheet1!$H:$AE,5,FALSE)</f>
        <v>Windbreaker</v>
      </c>
      <c r="M326">
        <f>VLOOKUP($H326,Sheet1!$H:$AE,13,FALSE)</f>
        <v>1179</v>
      </c>
      <c r="N326">
        <v>2207.46762962496</v>
      </c>
      <c r="O326">
        <v>1390493.9000337599</v>
      </c>
      <c r="P326">
        <v>16242.041949160101</v>
      </c>
      <c r="Q326">
        <v>16507083.118486701</v>
      </c>
      <c r="R326">
        <v>0.37950198987179301</v>
      </c>
      <c r="S326">
        <v>2.3184247868048499E-3</v>
      </c>
      <c r="T326">
        <v>0.24361874556205099</v>
      </c>
      <c r="U326">
        <v>3.2946546465371001E-3</v>
      </c>
      <c r="V326">
        <v>0.99985526315789497</v>
      </c>
      <c r="W326">
        <v>1.4471589335193701E-4</v>
      </c>
      <c r="X326">
        <v>0.49008735680284499</v>
      </c>
      <c r="Y326">
        <v>0.24990173950515199</v>
      </c>
      <c r="Z326">
        <v>8.4192931908469798E-2</v>
      </c>
      <c r="AA326">
        <v>2.9695728572760498E-3</v>
      </c>
      <c r="AB326">
        <v>77</v>
      </c>
    </row>
    <row r="327" spans="1:28" x14ac:dyDescent="0.25">
      <c r="A327">
        <v>1468</v>
      </c>
      <c r="B327" s="1">
        <v>45448</v>
      </c>
      <c r="C327" t="s">
        <v>717</v>
      </c>
      <c r="D327">
        <v>4.71</v>
      </c>
      <c r="E327">
        <v>905</v>
      </c>
      <c r="F327" t="s">
        <v>24</v>
      </c>
      <c r="G327" s="2" t="s">
        <v>718</v>
      </c>
      <c r="H327">
        <v>15024</v>
      </c>
      <c r="I327">
        <f>VLOOKUP(H327,Sheet1!H:AE,2)</f>
        <v>4</v>
      </c>
      <c r="J327" t="str">
        <f>VLOOKUP(H327,Sheet1!H:T,3,FALSE)</f>
        <v>30"</v>
      </c>
      <c r="K327">
        <f>VLOOKUP($H327,Sheet1!H:$AE,4,FALSE)</f>
        <v>75000</v>
      </c>
      <c r="L327" t="str">
        <f>VLOOKUP($H327,Sheet1!$H:$AE,5,FALSE)</f>
        <v>black bear</v>
      </c>
      <c r="M327">
        <f>VLOOKUP($H327,Sheet1!$H:$AE,13,FALSE)</f>
        <v>1853</v>
      </c>
      <c r="N327">
        <v>2094.9445871328498</v>
      </c>
      <c r="O327">
        <v>1080938.8942007599</v>
      </c>
      <c r="P327">
        <v>15759.633313652799</v>
      </c>
      <c r="Q327">
        <v>16707859.9491657</v>
      </c>
      <c r="R327">
        <v>0.38455861551243198</v>
      </c>
      <c r="S327">
        <v>2.6115402698330199E-3</v>
      </c>
      <c r="T327">
        <v>0.24614201618237799</v>
      </c>
      <c r="U327">
        <v>2.98220320180529E-3</v>
      </c>
      <c r="V327">
        <v>0.99961841101081605</v>
      </c>
      <c r="W327">
        <v>3.8144337902589501E-4</v>
      </c>
      <c r="X327">
        <v>0.49869881912932001</v>
      </c>
      <c r="Y327">
        <v>0.24999830692837299</v>
      </c>
      <c r="Z327">
        <v>8.4192931908469798E-2</v>
      </c>
      <c r="AA327">
        <v>2.9695728572760498E-3</v>
      </c>
      <c r="AB327">
        <v>88</v>
      </c>
    </row>
    <row r="328" spans="1:28" x14ac:dyDescent="0.25">
      <c r="A328">
        <v>1470</v>
      </c>
      <c r="B328" s="1">
        <v>45448</v>
      </c>
      <c r="C328" t="s">
        <v>719</v>
      </c>
      <c r="D328">
        <v>4.71</v>
      </c>
      <c r="E328">
        <v>905</v>
      </c>
      <c r="F328" t="s">
        <v>32</v>
      </c>
      <c r="G328" s="2" t="s">
        <v>720</v>
      </c>
      <c r="H328">
        <v>13024</v>
      </c>
      <c r="I328">
        <f>VLOOKUP(H328,Sheet1!H:AE,2)</f>
        <v>3</v>
      </c>
      <c r="J328" t="str">
        <f>VLOOKUP(H328,Sheet1!H:T,3,FALSE)</f>
        <v>30"</v>
      </c>
      <c r="K328">
        <f>VLOOKUP($H328,Sheet1!H:$AE,4,FALSE)</f>
        <v>75000</v>
      </c>
      <c r="L328" t="str">
        <f>VLOOKUP($H328,Sheet1!$H:$AE,5,FALSE)</f>
        <v>Windbreaker</v>
      </c>
      <c r="M328">
        <f>VLOOKUP($H328,Sheet1!$H:$AE,13,FALSE)</f>
        <v>1851</v>
      </c>
      <c r="N328">
        <v>1991.78102256186</v>
      </c>
      <c r="O328">
        <v>1389526.93625416</v>
      </c>
      <c r="P328">
        <v>15086.031971902799</v>
      </c>
      <c r="Q328">
        <v>17448239.2952279</v>
      </c>
      <c r="R328">
        <v>0.38081107453561802</v>
      </c>
      <c r="S328">
        <v>2.82194019006209E-3</v>
      </c>
      <c r="T328">
        <v>0.259743889688062</v>
      </c>
      <c r="U328">
        <v>3.4143305316549498E-3</v>
      </c>
      <c r="V328">
        <v>0.99984210734069301</v>
      </c>
      <c r="W328">
        <v>1.57867729215226E-4</v>
      </c>
      <c r="X328">
        <v>0.47151404191323099</v>
      </c>
      <c r="Y328">
        <v>0.24918855019213601</v>
      </c>
      <c r="Z328">
        <v>0.100795516765079</v>
      </c>
      <c r="AA328">
        <v>1.1483676572164199E-3</v>
      </c>
      <c r="AB328">
        <v>69</v>
      </c>
    </row>
    <row r="329" spans="1:28" x14ac:dyDescent="0.25">
      <c r="A329">
        <v>1471</v>
      </c>
      <c r="B329" s="1">
        <v>45448</v>
      </c>
      <c r="C329" t="s">
        <v>721</v>
      </c>
      <c r="D329">
        <v>4.71</v>
      </c>
      <c r="E329">
        <v>905</v>
      </c>
      <c r="F329" t="s">
        <v>36</v>
      </c>
      <c r="G329" t="s">
        <v>722</v>
      </c>
      <c r="H329">
        <v>12024</v>
      </c>
      <c r="I329">
        <f>VLOOKUP(H329,Sheet1!H:AE,2)</f>
        <v>3</v>
      </c>
      <c r="J329" t="str">
        <f>VLOOKUP(H329,Sheet1!H:T,3,FALSE)</f>
        <v>30"</v>
      </c>
      <c r="K329">
        <f>VLOOKUP($H329,Sheet1!H:$AE,4,FALSE)</f>
        <v>75000</v>
      </c>
      <c r="L329" t="str">
        <f>VLOOKUP($H329,Sheet1!$H:$AE,5,FALSE)</f>
        <v>ETNA</v>
      </c>
      <c r="M329">
        <f>VLOOKUP($H329,Sheet1!$H:$AE,13,FALSE)</f>
        <v>625</v>
      </c>
      <c r="N329">
        <v>2254.0154731162502</v>
      </c>
      <c r="O329">
        <v>1301053.3018467501</v>
      </c>
      <c r="P329">
        <v>15794.080721966</v>
      </c>
      <c r="Q329">
        <v>21204339.5943604</v>
      </c>
      <c r="R329">
        <v>0.38056228910622503</v>
      </c>
      <c r="S329">
        <v>3.1169119672021101E-3</v>
      </c>
      <c r="T329">
        <v>0.24874246529692501</v>
      </c>
      <c r="U329">
        <v>4.0173401504649498E-3</v>
      </c>
      <c r="V329">
        <v>0.99878950553932799</v>
      </c>
      <c r="W329">
        <v>1.20902916383189E-3</v>
      </c>
      <c r="X329">
        <v>0.36531621070251602</v>
      </c>
      <c r="Y329">
        <v>0.23186027690087299</v>
      </c>
      <c r="Z329">
        <v>0.101541433721954</v>
      </c>
      <c r="AA329">
        <v>8.1137284474565199E-4</v>
      </c>
      <c r="AB329">
        <v>89</v>
      </c>
    </row>
    <row r="330" spans="1:28" x14ac:dyDescent="0.25">
      <c r="A330">
        <v>1472</v>
      </c>
      <c r="B330" s="1">
        <v>45448</v>
      </c>
      <c r="C330" t="s">
        <v>723</v>
      </c>
      <c r="D330">
        <v>4.71</v>
      </c>
      <c r="E330">
        <v>905</v>
      </c>
      <c r="F330" t="s">
        <v>40</v>
      </c>
      <c r="G330" t="s">
        <v>724</v>
      </c>
      <c r="H330">
        <v>11024</v>
      </c>
      <c r="I330">
        <f>VLOOKUP(H330,Sheet1!H:AE,2)</f>
        <v>3</v>
      </c>
      <c r="J330" t="str">
        <f>VLOOKUP(H330,Sheet1!H:T,3,FALSE)</f>
        <v>30"</v>
      </c>
      <c r="K330">
        <f>VLOOKUP($H330,Sheet1!H:$AE,4,FALSE)</f>
        <v>75000</v>
      </c>
      <c r="L330" t="str">
        <f>VLOOKUP($H330,Sheet1!$H:$AE,5,FALSE)</f>
        <v>Zorro</v>
      </c>
      <c r="M330">
        <f>VLOOKUP($H330,Sheet1!$H:$AE,13,FALSE)</f>
        <v>1519</v>
      </c>
      <c r="N330">
        <v>2521.96381933461</v>
      </c>
      <c r="O330">
        <v>1617258.9324880501</v>
      </c>
      <c r="P330">
        <v>16761.988023174501</v>
      </c>
      <c r="Q330">
        <v>17172202.6612841</v>
      </c>
      <c r="R330">
        <v>0.328377193248169</v>
      </c>
      <c r="S330">
        <v>2.7738265590940298E-3</v>
      </c>
      <c r="T330">
        <v>0.21484938008599899</v>
      </c>
      <c r="U330">
        <v>2.5031282386796202E-3</v>
      </c>
      <c r="V330">
        <v>0.69707496151265103</v>
      </c>
      <c r="W330">
        <v>0.21116145954503299</v>
      </c>
      <c r="X330">
        <v>0.22860188054977901</v>
      </c>
      <c r="Y330">
        <v>0.17634306075817699</v>
      </c>
      <c r="Z330">
        <v>0.116475845461096</v>
      </c>
      <c r="AA330">
        <v>8.8454664812347703E-4</v>
      </c>
      <c r="AB330">
        <v>42</v>
      </c>
    </row>
    <row r="331" spans="1:28" x14ac:dyDescent="0.25">
      <c r="A331">
        <v>1473</v>
      </c>
      <c r="B331" s="1">
        <v>45448</v>
      </c>
      <c r="C331" t="s">
        <v>725</v>
      </c>
      <c r="D331">
        <v>4.71</v>
      </c>
      <c r="E331">
        <v>905</v>
      </c>
      <c r="F331" t="s">
        <v>44</v>
      </c>
      <c r="G331" t="s">
        <v>726</v>
      </c>
      <c r="H331">
        <v>10024</v>
      </c>
      <c r="I331">
        <f>VLOOKUP(H331,Sheet1!H:AE,2)</f>
        <v>3</v>
      </c>
      <c r="J331" t="str">
        <f>VLOOKUP(H331,Sheet1!H:T,3,FALSE)</f>
        <v>30"</v>
      </c>
      <c r="K331">
        <f>VLOOKUP($H331,Sheet1!H:$AE,4,FALSE)</f>
        <v>75000</v>
      </c>
      <c r="L331" t="str">
        <f>VLOOKUP($H331,Sheet1!$H:$AE,5,FALSE)</f>
        <v>Merlot</v>
      </c>
      <c r="M331">
        <f>VLOOKUP($H331,Sheet1!$H:$AE,13,FALSE)</f>
        <v>1352</v>
      </c>
      <c r="N331">
        <v>2565.6815916916298</v>
      </c>
      <c r="O331">
        <v>1077298.9448187801</v>
      </c>
      <c r="P331">
        <v>16175.219759372099</v>
      </c>
      <c r="Q331">
        <v>15639439.1419609</v>
      </c>
      <c r="R331">
        <v>0.29753972072213902</v>
      </c>
      <c r="S331">
        <v>2.9216892639910498E-3</v>
      </c>
      <c r="T331">
        <v>0.206749907695676</v>
      </c>
      <c r="U331">
        <v>2.5387299938677498E-3</v>
      </c>
      <c r="V331">
        <v>0.86446052631578996</v>
      </c>
      <c r="W331">
        <v>0.117168524757593</v>
      </c>
      <c r="X331">
        <v>0.340820076240543</v>
      </c>
      <c r="Y331">
        <v>0.22466175187256399</v>
      </c>
      <c r="Z331">
        <v>7.7678776515304901E-2</v>
      </c>
      <c r="AA331">
        <v>1.12397102936487E-3</v>
      </c>
      <c r="AB331">
        <v>42</v>
      </c>
    </row>
    <row r="332" spans="1:28" x14ac:dyDescent="0.25">
      <c r="A332">
        <v>1474</v>
      </c>
      <c r="B332" s="1">
        <v>45448</v>
      </c>
      <c r="C332" t="s">
        <v>727</v>
      </c>
      <c r="D332">
        <v>4.71</v>
      </c>
      <c r="E332">
        <v>905</v>
      </c>
      <c r="F332" t="s">
        <v>48</v>
      </c>
      <c r="G332" t="s">
        <v>728</v>
      </c>
      <c r="H332">
        <v>9024</v>
      </c>
      <c r="I332">
        <f>VLOOKUP(H332,Sheet1!H:AE,2)</f>
        <v>3</v>
      </c>
      <c r="J332" t="str">
        <f>VLOOKUP(H332,Sheet1!H:T,3,FALSE)</f>
        <v>30"</v>
      </c>
      <c r="K332">
        <f>VLOOKUP($H332,Sheet1!H:$AE,4,FALSE)</f>
        <v>75000</v>
      </c>
      <c r="L332" t="str">
        <f>VLOOKUP($H332,Sheet1!$H:$AE,5,FALSE)</f>
        <v>T9905</v>
      </c>
      <c r="M332">
        <f>VLOOKUP($H332,Sheet1!$H:$AE,13,FALSE)</f>
        <v>1797</v>
      </c>
      <c r="N332">
        <v>2261.5177409195899</v>
      </c>
      <c r="O332">
        <v>1139017.4036638299</v>
      </c>
      <c r="P332">
        <v>15619.3863916316</v>
      </c>
      <c r="Q332">
        <v>16473809.563107399</v>
      </c>
      <c r="R332">
        <v>0.34656083210755301</v>
      </c>
      <c r="S332">
        <v>2.4155819009896102E-3</v>
      </c>
      <c r="T332">
        <v>0.21376207089854299</v>
      </c>
      <c r="U332">
        <v>2.93440961479392E-3</v>
      </c>
      <c r="V332">
        <v>0.98589473684210505</v>
      </c>
      <c r="W332">
        <v>1.3906304709147501E-2</v>
      </c>
      <c r="X332">
        <v>0.31410730048713498</v>
      </c>
      <c r="Y332">
        <v>0.21544390426813101</v>
      </c>
      <c r="Z332">
        <v>0.10209411788841601</v>
      </c>
      <c r="AA332">
        <v>8.5563714117808899E-4</v>
      </c>
      <c r="AB332">
        <v>82</v>
      </c>
    </row>
    <row r="333" spans="1:28" x14ac:dyDescent="0.25">
      <c r="A333">
        <v>1475</v>
      </c>
      <c r="B333" s="1">
        <v>45448</v>
      </c>
      <c r="C333" t="s">
        <v>729</v>
      </c>
      <c r="D333">
        <v>4.71</v>
      </c>
      <c r="E333">
        <v>905</v>
      </c>
      <c r="F333" t="s">
        <v>52</v>
      </c>
      <c r="G333" t="s">
        <v>730</v>
      </c>
      <c r="H333">
        <v>8024</v>
      </c>
      <c r="I333">
        <f>VLOOKUP(H333,Sheet1!H:AE,2)</f>
        <v>2</v>
      </c>
      <c r="J333" t="str">
        <f>VLOOKUP(H333,Sheet1!H:T,3,FALSE)</f>
        <v>30"</v>
      </c>
      <c r="K333">
        <f>VLOOKUP($H333,Sheet1!H:$AE,4,FALSE)</f>
        <v>75000</v>
      </c>
      <c r="L333" t="str">
        <f>VLOOKUP($H333,Sheet1!$H:$AE,5,FALSE)</f>
        <v>Apex</v>
      </c>
      <c r="M333">
        <f>VLOOKUP($H333,Sheet1!$H:$AE,13,FALSE)</f>
        <v>1720</v>
      </c>
      <c r="N333">
        <v>2304.6234621467702</v>
      </c>
      <c r="O333">
        <v>1830840.246822</v>
      </c>
      <c r="P333">
        <v>15656.7414023279</v>
      </c>
      <c r="Q333">
        <v>18631744.567221701</v>
      </c>
      <c r="R333">
        <v>0.36958519396450801</v>
      </c>
      <c r="S333">
        <v>3.0818381355259702E-3</v>
      </c>
      <c r="T333">
        <v>0.235895933842343</v>
      </c>
      <c r="U333">
        <v>4.1121956466450699E-3</v>
      </c>
      <c r="V333">
        <v>0.95439413676495699</v>
      </c>
      <c r="W333">
        <v>4.3525968473577099E-2</v>
      </c>
      <c r="X333">
        <v>0.35845293752247598</v>
      </c>
      <c r="Y333">
        <v>0.22996442910329101</v>
      </c>
      <c r="Z333">
        <v>0.107804401875876</v>
      </c>
      <c r="AA333">
        <v>1.1746046050085601E-3</v>
      </c>
      <c r="AB333">
        <v>86</v>
      </c>
    </row>
    <row r="334" spans="1:28" x14ac:dyDescent="0.25">
      <c r="A334">
        <v>1476</v>
      </c>
      <c r="B334" s="1">
        <v>45448</v>
      </c>
      <c r="C334" t="s">
        <v>731</v>
      </c>
      <c r="D334">
        <v>4.71</v>
      </c>
      <c r="E334">
        <v>905</v>
      </c>
      <c r="F334" t="s">
        <v>56</v>
      </c>
      <c r="G334" t="s">
        <v>732</v>
      </c>
      <c r="H334">
        <v>7024</v>
      </c>
      <c r="I334">
        <f>VLOOKUP(H334,Sheet1!H:AE,2)</f>
        <v>2</v>
      </c>
      <c r="J334" t="str">
        <f>VLOOKUP(H334,Sheet1!H:T,3,FALSE)</f>
        <v>30"</v>
      </c>
      <c r="K334">
        <f>VLOOKUP($H334,Sheet1!H:$AE,4,FALSE)</f>
        <v>75000</v>
      </c>
      <c r="L334" t="str">
        <f>VLOOKUP($H334,Sheet1!$H:$AE,5,FALSE)</f>
        <v>Cayenne</v>
      </c>
      <c r="M334">
        <f>VLOOKUP($H334,Sheet1!$H:$AE,13,FALSE)</f>
        <v>2337</v>
      </c>
      <c r="N334">
        <v>2363.8526379878599</v>
      </c>
      <c r="O334">
        <v>907335.07256480097</v>
      </c>
      <c r="P334">
        <v>15675.9036201162</v>
      </c>
      <c r="Q334">
        <v>16097712.756498899</v>
      </c>
      <c r="R334">
        <v>0.37702544782840097</v>
      </c>
      <c r="S334">
        <v>2.6422687286858301E-3</v>
      </c>
      <c r="T334">
        <v>0.252951823078294</v>
      </c>
      <c r="U334">
        <v>3.8273636327249799E-3</v>
      </c>
      <c r="V334">
        <v>0.975737480592616</v>
      </c>
      <c r="W334">
        <v>2.3673849559357099E-2</v>
      </c>
      <c r="X334">
        <v>0.48289164819500802</v>
      </c>
      <c r="Y334">
        <v>0.24970730429812599</v>
      </c>
      <c r="Z334">
        <v>9.6373351045459299E-2</v>
      </c>
      <c r="AA334">
        <v>9.1612187112057898E-4</v>
      </c>
      <c r="AB334">
        <v>81</v>
      </c>
    </row>
    <row r="335" spans="1:28" x14ac:dyDescent="0.25">
      <c r="A335">
        <v>1477</v>
      </c>
      <c r="B335" s="1">
        <v>45448</v>
      </c>
      <c r="C335" t="s">
        <v>733</v>
      </c>
      <c r="D335">
        <v>4.71</v>
      </c>
      <c r="E335">
        <v>905</v>
      </c>
      <c r="F335" t="s">
        <v>60</v>
      </c>
      <c r="G335" t="s">
        <v>734</v>
      </c>
      <c r="H335">
        <v>6024</v>
      </c>
      <c r="I335">
        <f>VLOOKUP(H335,Sheet1!H:AE,2)</f>
        <v>2</v>
      </c>
      <c r="J335" t="str">
        <f>VLOOKUP(H335,Sheet1!H:T,3,FALSE)</f>
        <v>30"</v>
      </c>
      <c r="K335">
        <f>VLOOKUP($H335,Sheet1!H:$AE,4,FALSE)</f>
        <v>75000</v>
      </c>
      <c r="L335" t="str">
        <f>VLOOKUP($H335,Sheet1!$H:$AE,5,FALSE)</f>
        <v>Redhawk</v>
      </c>
      <c r="M335">
        <f>VLOOKUP($H335,Sheet1!$H:$AE,13,FALSE)</f>
        <v>441</v>
      </c>
      <c r="N335">
        <v>2425.1358158609301</v>
      </c>
      <c r="O335">
        <v>1417932.4866418</v>
      </c>
      <c r="P335">
        <v>16004.080811263701</v>
      </c>
      <c r="Q335">
        <v>18425346.6183093</v>
      </c>
      <c r="R335">
        <v>0.38264062353933498</v>
      </c>
      <c r="S335">
        <v>2.99534666905501E-3</v>
      </c>
      <c r="T335">
        <v>0.25626736459188199</v>
      </c>
      <c r="U335">
        <v>3.93901744338026E-3</v>
      </c>
      <c r="V335">
        <v>0.95157894736842097</v>
      </c>
      <c r="W335">
        <v>4.6076454293620499E-2</v>
      </c>
      <c r="X335">
        <v>0.37749617482051001</v>
      </c>
      <c r="Y335">
        <v>0.23499281281593701</v>
      </c>
      <c r="Z335">
        <v>9.3056265944980301E-2</v>
      </c>
      <c r="AA335">
        <v>9.3336123640364304E-4</v>
      </c>
      <c r="AB335">
        <v>81</v>
      </c>
    </row>
    <row r="336" spans="1:28" x14ac:dyDescent="0.25">
      <c r="A336">
        <v>1478</v>
      </c>
      <c r="B336" s="1">
        <v>45448</v>
      </c>
      <c r="C336" t="s">
        <v>735</v>
      </c>
      <c r="D336">
        <v>4.71</v>
      </c>
      <c r="E336">
        <v>905</v>
      </c>
      <c r="F336" t="s">
        <v>64</v>
      </c>
      <c r="G336" t="s">
        <v>736</v>
      </c>
      <c r="H336">
        <v>5024</v>
      </c>
      <c r="I336">
        <f>VLOOKUP(H336,Sheet1!H:AE,2)</f>
        <v>2</v>
      </c>
      <c r="J336" t="str">
        <f>VLOOKUP(H336,Sheet1!H:T,3,FALSE)</f>
        <v>30"</v>
      </c>
      <c r="K336">
        <f>VLOOKUP($H336,Sheet1!H:$AE,4,FALSE)</f>
        <v>75000</v>
      </c>
      <c r="L336" t="str">
        <f>VLOOKUP($H336,Sheet1!$H:$AE,5,FALSE)</f>
        <v>Red Dawn</v>
      </c>
      <c r="M336">
        <f>VLOOKUP($H336,Sheet1!$H:$AE,13,FALSE)</f>
        <v>73</v>
      </c>
      <c r="N336">
        <v>2221.2882326183599</v>
      </c>
      <c r="O336">
        <v>1508669.06813791</v>
      </c>
      <c r="P336">
        <v>15336.931677873599</v>
      </c>
      <c r="Q336">
        <v>18605152.856090602</v>
      </c>
      <c r="R336">
        <v>0.38558026423904002</v>
      </c>
      <c r="S336">
        <v>2.81964844867384E-3</v>
      </c>
      <c r="T336">
        <v>0.26355365467208403</v>
      </c>
      <c r="U336">
        <v>4.5023111936306802E-3</v>
      </c>
      <c r="V336">
        <v>0.99846052631578996</v>
      </c>
      <c r="W336">
        <v>1.5371037049842599E-3</v>
      </c>
      <c r="X336">
        <v>0.31026095371357199</v>
      </c>
      <c r="Y336">
        <v>0.21399909431401501</v>
      </c>
      <c r="Z336">
        <v>8.5872909838574096E-2</v>
      </c>
      <c r="AA336">
        <v>8.7433742098954204E-4</v>
      </c>
      <c r="AB336">
        <v>113</v>
      </c>
    </row>
    <row r="337" spans="1:28" x14ac:dyDescent="0.25">
      <c r="A337">
        <v>1481</v>
      </c>
      <c r="B337" s="1">
        <v>45448</v>
      </c>
      <c r="C337" t="s">
        <v>737</v>
      </c>
      <c r="D337">
        <v>4.71</v>
      </c>
      <c r="E337">
        <v>905</v>
      </c>
      <c r="F337" t="s">
        <v>76</v>
      </c>
      <c r="G337" t="s">
        <v>738</v>
      </c>
      <c r="H337">
        <v>2024</v>
      </c>
      <c r="I337">
        <f>VLOOKUP(H337,Sheet1!H:AE,2)</f>
        <v>1</v>
      </c>
      <c r="J337" t="str">
        <f>VLOOKUP(H337,Sheet1!H:T,3,FALSE)</f>
        <v>30"</v>
      </c>
      <c r="K337">
        <f>VLOOKUP($H337,Sheet1!H:$AE,4,FALSE)</f>
        <v>75000</v>
      </c>
      <c r="L337" t="str">
        <f>VLOOKUP($H337,Sheet1!$H:$AE,5,FALSE)</f>
        <v>Eclipse</v>
      </c>
      <c r="M337">
        <f>VLOOKUP($H337,Sheet1!$H:$AE,13,FALSE)</f>
        <v>283</v>
      </c>
      <c r="N337">
        <v>2358.9106902922399</v>
      </c>
      <c r="O337">
        <v>1026934.33865372</v>
      </c>
      <c r="P337">
        <v>15756.5629489981</v>
      </c>
      <c r="Q337">
        <v>16985064.850313701</v>
      </c>
      <c r="R337">
        <v>0.37851622769708798</v>
      </c>
      <c r="S337">
        <v>2.51205475131888E-3</v>
      </c>
      <c r="T337">
        <v>0.24032166500713401</v>
      </c>
      <c r="U337">
        <v>3.6190655512953899E-3</v>
      </c>
      <c r="V337">
        <v>1</v>
      </c>
      <c r="W337">
        <v>0</v>
      </c>
      <c r="X337">
        <v>0.180164511109076</v>
      </c>
      <c r="Y337">
        <v>0.14770526004554899</v>
      </c>
      <c r="Z337">
        <v>0.10455132394219099</v>
      </c>
      <c r="AA337">
        <v>9.9505154427514996E-4</v>
      </c>
      <c r="AB337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A63A4-547C-4380-B5F6-B69277A61D07}">
  <dimension ref="A1:AH361"/>
  <sheetViews>
    <sheetView workbookViewId="0">
      <selection activeCell="T2" sqref="T2"/>
    </sheetView>
  </sheetViews>
  <sheetFormatPr defaultRowHeight="15" x14ac:dyDescent="0.25"/>
  <cols>
    <col min="2" max="2" width="15.5703125" customWidth="1"/>
    <col min="8" max="8" width="20.140625" customWidth="1"/>
    <col min="14" max="14" width="25.7109375" customWidth="1"/>
    <col min="21" max="21" width="13.140625" customWidth="1"/>
    <col min="22" max="22" width="15" customWidth="1"/>
  </cols>
  <sheetData>
    <row r="1" spans="1:34" x14ac:dyDescent="0.25">
      <c r="A1" t="s">
        <v>739</v>
      </c>
      <c r="B1" t="s">
        <v>740</v>
      </c>
      <c r="C1" t="s">
        <v>741</v>
      </c>
      <c r="D1" t="s">
        <v>742</v>
      </c>
      <c r="E1" t="s">
        <v>743</v>
      </c>
      <c r="F1" t="s">
        <v>744</v>
      </c>
      <c r="G1" t="s">
        <v>745</v>
      </c>
      <c r="H1" t="s">
        <v>748</v>
      </c>
      <c r="I1" t="s">
        <v>8</v>
      </c>
      <c r="J1" t="s">
        <v>9</v>
      </c>
      <c r="K1" t="s">
        <v>10</v>
      </c>
      <c r="L1" t="s">
        <v>11</v>
      </c>
      <c r="M1" t="s">
        <v>746</v>
      </c>
      <c r="N1" t="s">
        <v>747</v>
      </c>
      <c r="O1" t="s">
        <v>749</v>
      </c>
      <c r="P1" t="s">
        <v>750</v>
      </c>
      <c r="Q1" t="s">
        <v>751</v>
      </c>
      <c r="R1" t="s">
        <v>752</v>
      </c>
      <c r="S1" t="s">
        <v>753</v>
      </c>
      <c r="T1" t="s">
        <v>12</v>
      </c>
      <c r="U1" t="s">
        <v>754</v>
      </c>
      <c r="V1" t="s">
        <v>755</v>
      </c>
      <c r="W1" t="s">
        <v>756</v>
      </c>
      <c r="X1" t="s">
        <v>757</v>
      </c>
      <c r="Y1" t="s">
        <v>758</v>
      </c>
      <c r="Z1" t="s">
        <v>759</v>
      </c>
      <c r="AA1" t="s">
        <v>760</v>
      </c>
      <c r="AB1" t="s">
        <v>761</v>
      </c>
      <c r="AC1" t="s">
        <v>762</v>
      </c>
      <c r="AD1" t="s">
        <v>763</v>
      </c>
      <c r="AE1" t="s">
        <v>764</v>
      </c>
      <c r="AF1" t="s">
        <v>765</v>
      </c>
      <c r="AG1" t="s">
        <v>766</v>
      </c>
      <c r="AH1" t="s">
        <v>767</v>
      </c>
    </row>
    <row r="2" spans="1:34" x14ac:dyDescent="0.25">
      <c r="A2" t="s">
        <v>768</v>
      </c>
      <c r="B2" t="s">
        <v>769</v>
      </c>
      <c r="D2" t="s">
        <v>770</v>
      </c>
      <c r="E2">
        <v>1</v>
      </c>
      <c r="H2">
        <v>1001</v>
      </c>
      <c r="I2">
        <v>1</v>
      </c>
      <c r="J2" t="s">
        <v>771</v>
      </c>
      <c r="K2">
        <v>100000</v>
      </c>
      <c r="L2" t="s">
        <v>26</v>
      </c>
      <c r="M2">
        <v>68</v>
      </c>
      <c r="N2">
        <v>101</v>
      </c>
      <c r="O2">
        <v>1</v>
      </c>
      <c r="P2">
        <v>1</v>
      </c>
      <c r="Q2">
        <v>39</v>
      </c>
      <c r="R2">
        <v>19.8</v>
      </c>
      <c r="S2">
        <v>1772</v>
      </c>
      <c r="T2">
        <v>2280</v>
      </c>
      <c r="U2" s="1">
        <v>45497</v>
      </c>
      <c r="V2" s="1">
        <v>45536</v>
      </c>
      <c r="W2">
        <v>131707</v>
      </c>
      <c r="X2">
        <v>0.86650482200000001</v>
      </c>
      <c r="Y2">
        <v>2631.260601</v>
      </c>
      <c r="Z2">
        <f t="shared" ref="Z2:Z29" si="0">1-((0.95-X2)*0.5)</f>
        <v>0.95825241100000003</v>
      </c>
      <c r="AA2">
        <f t="shared" ref="AA2:AA7" si="1">T2/Z2</f>
        <v>2379.3313471767515</v>
      </c>
      <c r="AB2" cm="1">
        <f t="array" ref="AB2">_xlfn.IFS(X2&lt;0.6,T2,0.9&lt;X2,T2,X2,AA2)</f>
        <v>2379.3313471767515</v>
      </c>
      <c r="AC2">
        <v>0.95327668799999998</v>
      </c>
      <c r="AD2">
        <v>2562.81203</v>
      </c>
      <c r="AE2">
        <v>2562.81203</v>
      </c>
      <c r="AG2">
        <v>0</v>
      </c>
      <c r="AH2">
        <v>1</v>
      </c>
    </row>
    <row r="3" spans="1:34" x14ac:dyDescent="0.25">
      <c r="A3" t="s">
        <v>768</v>
      </c>
      <c r="B3" t="s">
        <v>772</v>
      </c>
      <c r="D3" t="s">
        <v>770</v>
      </c>
      <c r="E3">
        <v>2</v>
      </c>
      <c r="H3">
        <v>2001</v>
      </c>
      <c r="I3">
        <v>1</v>
      </c>
      <c r="J3" t="s">
        <v>771</v>
      </c>
      <c r="K3">
        <v>100000</v>
      </c>
      <c r="L3" t="s">
        <v>50</v>
      </c>
      <c r="M3">
        <v>64</v>
      </c>
      <c r="N3">
        <v>201</v>
      </c>
      <c r="O3">
        <v>2</v>
      </c>
      <c r="P3">
        <v>1</v>
      </c>
      <c r="Q3">
        <v>67</v>
      </c>
      <c r="R3">
        <v>23.8</v>
      </c>
      <c r="S3">
        <v>635</v>
      </c>
      <c r="T3">
        <v>776</v>
      </c>
      <c r="U3" s="1">
        <v>45496</v>
      </c>
      <c r="V3" s="1">
        <v>45536</v>
      </c>
      <c r="W3">
        <v>151510</v>
      </c>
      <c r="X3">
        <v>0.99678287399999999</v>
      </c>
      <c r="Y3">
        <v>778.50454760000002</v>
      </c>
      <c r="Z3">
        <f t="shared" si="0"/>
        <v>1.0233914369999999</v>
      </c>
      <c r="AA3">
        <f t="shared" si="1"/>
        <v>758.26313563340875</v>
      </c>
      <c r="AB3" cm="1">
        <f t="array" ref="AB3">_xlfn.IFS(X3&lt;0.6,T3,0.9&lt;X3,T3,X3,AA3)</f>
        <v>776</v>
      </c>
      <c r="AC3">
        <v>0.99887400599999998</v>
      </c>
      <c r="AD3">
        <v>778.1264218</v>
      </c>
      <c r="AE3">
        <v>776</v>
      </c>
      <c r="AG3">
        <v>0</v>
      </c>
      <c r="AH3">
        <v>2</v>
      </c>
    </row>
    <row r="4" spans="1:34" x14ac:dyDescent="0.25">
      <c r="A4" t="s">
        <v>768</v>
      </c>
      <c r="B4" t="s">
        <v>773</v>
      </c>
      <c r="D4" t="s">
        <v>770</v>
      </c>
      <c r="E4">
        <v>3</v>
      </c>
      <c r="H4">
        <v>3001</v>
      </c>
      <c r="I4">
        <v>1</v>
      </c>
      <c r="J4" t="s">
        <v>771</v>
      </c>
      <c r="K4">
        <v>100000</v>
      </c>
      <c r="L4" t="s">
        <v>42</v>
      </c>
      <c r="M4">
        <v>74</v>
      </c>
      <c r="N4">
        <v>301</v>
      </c>
      <c r="O4">
        <v>3</v>
      </c>
      <c r="P4">
        <v>1</v>
      </c>
      <c r="Q4">
        <v>42</v>
      </c>
      <c r="R4">
        <v>21.2</v>
      </c>
      <c r="S4">
        <v>1586</v>
      </c>
      <c r="T4">
        <v>2005</v>
      </c>
      <c r="U4" s="1">
        <v>45494</v>
      </c>
      <c r="V4" s="1">
        <v>45527</v>
      </c>
      <c r="W4">
        <v>151855</v>
      </c>
      <c r="X4">
        <v>0.99903947999999998</v>
      </c>
      <c r="Y4">
        <v>2006.927694</v>
      </c>
      <c r="Z4">
        <f t="shared" si="0"/>
        <v>1.0245197400000001</v>
      </c>
      <c r="AA4">
        <f t="shared" si="1"/>
        <v>1957.0145129658504</v>
      </c>
      <c r="AB4" cm="1">
        <f t="array" ref="AB4">_xlfn.IFS(X4&lt;0.6,T4,0.9&lt;X4,T4,X4,AA4)</f>
        <v>2005</v>
      </c>
      <c r="AC4">
        <v>0.99966381800000004</v>
      </c>
      <c r="AD4">
        <v>2006.63798</v>
      </c>
      <c r="AE4">
        <v>2005</v>
      </c>
      <c r="AG4">
        <v>0</v>
      </c>
      <c r="AH4">
        <v>3</v>
      </c>
    </row>
    <row r="5" spans="1:34" x14ac:dyDescent="0.25">
      <c r="A5" t="s">
        <v>768</v>
      </c>
      <c r="B5" t="s">
        <v>774</v>
      </c>
      <c r="D5" t="s">
        <v>770</v>
      </c>
      <c r="E5">
        <v>4</v>
      </c>
      <c r="H5">
        <v>4001</v>
      </c>
      <c r="I5">
        <v>1</v>
      </c>
      <c r="J5" t="s">
        <v>771</v>
      </c>
      <c r="K5">
        <v>100000</v>
      </c>
      <c r="L5" t="s">
        <v>30</v>
      </c>
      <c r="M5">
        <v>75</v>
      </c>
      <c r="N5">
        <v>401</v>
      </c>
      <c r="O5">
        <v>4</v>
      </c>
      <c r="P5">
        <v>1</v>
      </c>
      <c r="Q5">
        <v>27</v>
      </c>
      <c r="R5">
        <v>21.5</v>
      </c>
      <c r="S5">
        <v>1519</v>
      </c>
      <c r="T5">
        <v>1913</v>
      </c>
      <c r="U5" s="1">
        <v>45494</v>
      </c>
      <c r="V5" s="1">
        <v>45528</v>
      </c>
      <c r="W5">
        <v>144210</v>
      </c>
      <c r="X5">
        <v>0.94875624199999997</v>
      </c>
      <c r="Y5">
        <v>2016.3240209999999</v>
      </c>
      <c r="Z5">
        <f t="shared" si="0"/>
        <v>0.99937812100000001</v>
      </c>
      <c r="AA5">
        <f t="shared" si="1"/>
        <v>1914.190394808533</v>
      </c>
      <c r="AB5" cm="1">
        <f t="array" ref="AB5">_xlfn.IFS(X5&lt;0.6,T5,0.9&lt;X5,T5,X5,AA5)</f>
        <v>1913</v>
      </c>
      <c r="AC5">
        <v>0.98206468499999999</v>
      </c>
      <c r="AD5">
        <v>1999.159073</v>
      </c>
      <c r="AE5">
        <v>1913</v>
      </c>
      <c r="AG5">
        <v>0</v>
      </c>
      <c r="AH5">
        <v>4</v>
      </c>
    </row>
    <row r="6" spans="1:34" x14ac:dyDescent="0.25">
      <c r="A6" t="s">
        <v>768</v>
      </c>
      <c r="B6" t="s">
        <v>775</v>
      </c>
      <c r="D6" t="s">
        <v>770</v>
      </c>
      <c r="E6">
        <v>5</v>
      </c>
      <c r="H6">
        <v>5001</v>
      </c>
      <c r="I6">
        <v>1</v>
      </c>
      <c r="J6" t="s">
        <v>771</v>
      </c>
      <c r="K6">
        <v>100000</v>
      </c>
      <c r="L6" t="s">
        <v>46</v>
      </c>
      <c r="M6">
        <v>65</v>
      </c>
      <c r="N6">
        <v>501</v>
      </c>
      <c r="O6">
        <v>5</v>
      </c>
      <c r="P6">
        <v>1</v>
      </c>
      <c r="Q6">
        <v>26</v>
      </c>
      <c r="R6">
        <v>19.399999999999999</v>
      </c>
      <c r="S6">
        <v>1534</v>
      </c>
      <c r="T6">
        <v>1984</v>
      </c>
      <c r="U6" s="1">
        <v>45496</v>
      </c>
      <c r="V6" s="1">
        <v>45530</v>
      </c>
      <c r="W6">
        <v>151698</v>
      </c>
      <c r="X6">
        <v>0.99801315800000001</v>
      </c>
      <c r="Y6">
        <v>1987.949742</v>
      </c>
      <c r="Z6">
        <f t="shared" si="0"/>
        <v>1.0240065789999999</v>
      </c>
      <c r="AA6">
        <f t="shared" si="1"/>
        <v>1937.4875520208939</v>
      </c>
      <c r="AB6" cm="1">
        <f t="array" ref="AB6">_xlfn.IFS(X6&lt;0.6,T6,0.9&lt;X6,T6,X6,AA6)</f>
        <v>1984</v>
      </c>
      <c r="AC6">
        <v>0.99930460499999996</v>
      </c>
      <c r="AD6">
        <v>1987.3549029999999</v>
      </c>
      <c r="AE6">
        <v>1984</v>
      </c>
      <c r="AG6">
        <v>0</v>
      </c>
      <c r="AH6">
        <v>5</v>
      </c>
    </row>
    <row r="7" spans="1:34" x14ac:dyDescent="0.25">
      <c r="A7" t="s">
        <v>768</v>
      </c>
      <c r="B7" s="2" t="s">
        <v>776</v>
      </c>
      <c r="D7" t="s">
        <v>770</v>
      </c>
      <c r="E7">
        <v>6</v>
      </c>
      <c r="H7">
        <v>6001</v>
      </c>
      <c r="I7">
        <v>1</v>
      </c>
      <c r="J7" t="s">
        <v>771</v>
      </c>
      <c r="K7">
        <v>100000</v>
      </c>
      <c r="L7" t="s">
        <v>74</v>
      </c>
      <c r="M7">
        <v>61</v>
      </c>
      <c r="N7">
        <v>601</v>
      </c>
      <c r="O7">
        <v>6</v>
      </c>
      <c r="P7">
        <v>1</v>
      </c>
      <c r="Q7">
        <v>52</v>
      </c>
      <c r="R7">
        <v>25.6</v>
      </c>
      <c r="S7">
        <v>1417</v>
      </c>
      <c r="T7">
        <v>1692</v>
      </c>
      <c r="U7" s="1">
        <v>45493</v>
      </c>
      <c r="V7" s="1">
        <v>45536</v>
      </c>
      <c r="W7">
        <v>129965</v>
      </c>
      <c r="X7">
        <v>0.85502164400000003</v>
      </c>
      <c r="Y7">
        <v>1978.8972719999999</v>
      </c>
      <c r="Z7">
        <f t="shared" si="0"/>
        <v>0.95251082200000003</v>
      </c>
      <c r="AA7">
        <f t="shared" si="1"/>
        <v>1776.3577703477263</v>
      </c>
      <c r="AB7" cm="1">
        <f t="array" ref="AB7">_xlfn.IFS(X7&lt;0.6,T7,0.9&lt;X7,T7,X7,AA7)</f>
        <v>1776.3577703477263</v>
      </c>
      <c r="AC7">
        <v>0.94925757499999996</v>
      </c>
      <c r="AD7">
        <v>1921.7518219999999</v>
      </c>
      <c r="AE7">
        <v>1921.7518219999999</v>
      </c>
      <c r="AG7">
        <v>0</v>
      </c>
      <c r="AH7">
        <v>6</v>
      </c>
    </row>
    <row r="8" spans="1:34" x14ac:dyDescent="0.25">
      <c r="A8" t="s">
        <v>768</v>
      </c>
      <c r="B8">
        <v>1647132305</v>
      </c>
      <c r="D8" t="s">
        <v>770</v>
      </c>
      <c r="E8">
        <v>7</v>
      </c>
      <c r="H8">
        <v>7001</v>
      </c>
      <c r="I8">
        <v>1</v>
      </c>
      <c r="J8" t="s">
        <v>771</v>
      </c>
      <c r="K8">
        <v>100000</v>
      </c>
      <c r="L8" t="s">
        <v>34</v>
      </c>
      <c r="M8">
        <v>71</v>
      </c>
      <c r="N8">
        <v>701</v>
      </c>
      <c r="O8">
        <v>7</v>
      </c>
      <c r="P8">
        <v>1</v>
      </c>
      <c r="Q8">
        <v>-9</v>
      </c>
      <c r="R8">
        <v>-9</v>
      </c>
      <c r="S8">
        <v>-9</v>
      </c>
      <c r="U8" s="1">
        <v>45490</v>
      </c>
      <c r="V8" s="1">
        <v>45525</v>
      </c>
      <c r="W8">
        <v>141596</v>
      </c>
      <c r="X8">
        <v>0.931540374</v>
      </c>
      <c r="Z8">
        <f t="shared" si="0"/>
        <v>0.99077018700000008</v>
      </c>
      <c r="AG8">
        <v>0</v>
      </c>
      <c r="AH8">
        <v>7</v>
      </c>
    </row>
    <row r="9" spans="1:34" x14ac:dyDescent="0.25">
      <c r="A9" t="s">
        <v>768</v>
      </c>
      <c r="B9" t="s">
        <v>777</v>
      </c>
      <c r="D9" t="s">
        <v>770</v>
      </c>
      <c r="E9">
        <v>8</v>
      </c>
      <c r="H9">
        <v>8001</v>
      </c>
      <c r="I9">
        <v>1</v>
      </c>
      <c r="J9" t="s">
        <v>771</v>
      </c>
      <c r="K9">
        <v>100000</v>
      </c>
      <c r="L9" t="s">
        <v>78</v>
      </c>
      <c r="M9">
        <v>66</v>
      </c>
      <c r="N9">
        <v>801</v>
      </c>
      <c r="O9">
        <v>8</v>
      </c>
      <c r="P9">
        <v>1</v>
      </c>
      <c r="Q9">
        <v>41</v>
      </c>
      <c r="R9">
        <v>18.2</v>
      </c>
      <c r="S9">
        <v>851</v>
      </c>
      <c r="T9">
        <v>1117</v>
      </c>
      <c r="U9" s="1">
        <v>45489</v>
      </c>
      <c r="V9" s="1">
        <v>45523</v>
      </c>
      <c r="W9">
        <v>146571</v>
      </c>
      <c r="X9">
        <v>0.96428289499999997</v>
      </c>
      <c r="Y9">
        <v>1158.3737570000001</v>
      </c>
      <c r="Z9">
        <f t="shared" si="0"/>
        <v>1.0071414475</v>
      </c>
      <c r="AA9">
        <f t="shared" ref="AA9:AA29" si="2">T9/Z9</f>
        <v>1109.0795665024996</v>
      </c>
      <c r="AB9" cm="1">
        <f t="array" ref="AB9">_xlfn.IFS(X9&lt;0.6,T9,0.9&lt;X9,T9,X9,AA9)</f>
        <v>1117</v>
      </c>
      <c r="AC9">
        <v>0.98749901299999998</v>
      </c>
      <c r="AD9">
        <v>1151.708212</v>
      </c>
      <c r="AE9">
        <v>1117</v>
      </c>
      <c r="AG9">
        <v>0</v>
      </c>
      <c r="AH9">
        <v>8</v>
      </c>
    </row>
    <row r="10" spans="1:34" x14ac:dyDescent="0.25">
      <c r="A10" t="s">
        <v>768</v>
      </c>
      <c r="B10" t="s">
        <v>778</v>
      </c>
      <c r="D10" t="s">
        <v>770</v>
      </c>
      <c r="E10">
        <v>9</v>
      </c>
      <c r="H10">
        <v>9001</v>
      </c>
      <c r="I10">
        <v>1</v>
      </c>
      <c r="J10" t="s">
        <v>771</v>
      </c>
      <c r="K10">
        <v>100000</v>
      </c>
      <c r="L10" t="s">
        <v>80</v>
      </c>
      <c r="M10">
        <v>62</v>
      </c>
      <c r="N10">
        <v>901</v>
      </c>
      <c r="O10">
        <v>9</v>
      </c>
      <c r="P10">
        <v>1</v>
      </c>
      <c r="Q10">
        <v>25</v>
      </c>
      <c r="R10">
        <v>19.600000000000001</v>
      </c>
      <c r="S10">
        <v>1633</v>
      </c>
      <c r="T10">
        <v>2107</v>
      </c>
      <c r="U10" s="1">
        <v>45499</v>
      </c>
      <c r="V10" s="1">
        <v>45534</v>
      </c>
      <c r="W10">
        <v>151495</v>
      </c>
      <c r="X10">
        <v>0.99667107499999996</v>
      </c>
      <c r="Y10">
        <v>2114.0374729999999</v>
      </c>
      <c r="Z10">
        <f t="shared" si="0"/>
        <v>1.0233355374999999</v>
      </c>
      <c r="AA10">
        <f t="shared" si="2"/>
        <v>2058.9532199256787</v>
      </c>
      <c r="AB10" cm="1">
        <f t="array" ref="AB10">_xlfn.IFS(X10&lt;0.6,T10,0.9&lt;X10,T10,X10,AA10)</f>
        <v>2107</v>
      </c>
      <c r="AC10">
        <v>0.99883487599999998</v>
      </c>
      <c r="AD10">
        <v>2112.9747470000002</v>
      </c>
      <c r="AE10">
        <v>2107</v>
      </c>
      <c r="AG10">
        <v>0</v>
      </c>
      <c r="AH10">
        <v>9</v>
      </c>
    </row>
    <row r="11" spans="1:34" x14ac:dyDescent="0.25">
      <c r="A11" t="s">
        <v>768</v>
      </c>
      <c r="B11" t="s">
        <v>779</v>
      </c>
      <c r="D11" t="s">
        <v>770</v>
      </c>
      <c r="E11">
        <v>10</v>
      </c>
      <c r="H11">
        <v>10001</v>
      </c>
      <c r="I11">
        <v>1</v>
      </c>
      <c r="J11" t="s">
        <v>771</v>
      </c>
      <c r="K11">
        <v>100000</v>
      </c>
      <c r="L11" t="s">
        <v>66</v>
      </c>
      <c r="M11">
        <v>72</v>
      </c>
      <c r="N11">
        <v>1001</v>
      </c>
      <c r="O11">
        <v>10</v>
      </c>
      <c r="P11">
        <v>1</v>
      </c>
      <c r="Q11">
        <v>72</v>
      </c>
      <c r="R11">
        <v>23</v>
      </c>
      <c r="S11">
        <v>590</v>
      </c>
      <c r="T11">
        <v>729</v>
      </c>
      <c r="U11" s="1">
        <v>45497</v>
      </c>
      <c r="V11" s="1">
        <v>45537</v>
      </c>
      <c r="W11">
        <v>149980</v>
      </c>
      <c r="X11">
        <v>0.98671052599999998</v>
      </c>
      <c r="Y11">
        <v>738.81850910000003</v>
      </c>
      <c r="Z11">
        <f t="shared" si="0"/>
        <v>1.0183552630000001</v>
      </c>
      <c r="AA11">
        <f t="shared" si="2"/>
        <v>715.8601977981823</v>
      </c>
      <c r="AB11" cm="1">
        <f t="array" ref="AB11">_xlfn.IFS(X11&lt;0.6,T11,0.9&lt;X11,T11,X11,AA11)</f>
        <v>729</v>
      </c>
      <c r="AC11">
        <v>0.99534868399999998</v>
      </c>
      <c r="AD11">
        <v>737.30585829999995</v>
      </c>
      <c r="AE11">
        <v>729</v>
      </c>
      <c r="AG11">
        <v>0</v>
      </c>
      <c r="AH11">
        <v>10</v>
      </c>
    </row>
    <row r="12" spans="1:34" x14ac:dyDescent="0.25">
      <c r="A12" t="s">
        <v>768</v>
      </c>
      <c r="B12" t="s">
        <v>780</v>
      </c>
      <c r="D12" t="s">
        <v>770</v>
      </c>
      <c r="E12">
        <v>11</v>
      </c>
      <c r="H12">
        <v>11001</v>
      </c>
      <c r="I12">
        <v>1</v>
      </c>
      <c r="J12" t="s">
        <v>771</v>
      </c>
      <c r="K12">
        <v>100000</v>
      </c>
      <c r="L12" t="s">
        <v>62</v>
      </c>
      <c r="M12">
        <v>73</v>
      </c>
      <c r="N12">
        <v>1101</v>
      </c>
      <c r="O12">
        <v>11</v>
      </c>
      <c r="P12">
        <v>1</v>
      </c>
      <c r="Q12">
        <v>26</v>
      </c>
      <c r="R12">
        <v>21.3</v>
      </c>
      <c r="S12">
        <v>1675</v>
      </c>
      <c r="T12">
        <v>2115</v>
      </c>
      <c r="U12" s="1">
        <v>45499</v>
      </c>
      <c r="V12" s="1">
        <v>45534</v>
      </c>
      <c r="W12">
        <v>149211</v>
      </c>
      <c r="X12">
        <v>0.981651316</v>
      </c>
      <c r="Y12">
        <v>2154.532843</v>
      </c>
      <c r="Z12">
        <f t="shared" si="0"/>
        <v>1.015825658</v>
      </c>
      <c r="AA12">
        <f t="shared" si="2"/>
        <v>2082.0501858203702</v>
      </c>
      <c r="AB12" cm="1">
        <f t="array" ref="AB12">_xlfn.IFS(X12&lt;0.6,T12,0.9&lt;X12,T12,X12,AA12)</f>
        <v>2115</v>
      </c>
      <c r="AC12">
        <v>0.99357796099999995</v>
      </c>
      <c r="AD12">
        <v>2148.3803809999999</v>
      </c>
      <c r="AE12">
        <v>2115</v>
      </c>
      <c r="AG12">
        <v>0</v>
      </c>
      <c r="AH12">
        <v>11</v>
      </c>
    </row>
    <row r="13" spans="1:34" x14ac:dyDescent="0.25">
      <c r="A13" t="s">
        <v>768</v>
      </c>
      <c r="B13" t="s">
        <v>781</v>
      </c>
      <c r="D13" t="s">
        <v>770</v>
      </c>
      <c r="E13">
        <v>12</v>
      </c>
      <c r="H13">
        <v>12001</v>
      </c>
      <c r="I13">
        <v>1</v>
      </c>
      <c r="J13" t="s">
        <v>771</v>
      </c>
      <c r="K13">
        <v>100000</v>
      </c>
      <c r="L13" t="s">
        <v>54</v>
      </c>
      <c r="M13">
        <v>70</v>
      </c>
      <c r="N13">
        <v>1201</v>
      </c>
      <c r="O13">
        <v>12</v>
      </c>
      <c r="P13">
        <v>1</v>
      </c>
      <c r="Q13">
        <v>60</v>
      </c>
      <c r="R13">
        <v>20.7</v>
      </c>
      <c r="S13">
        <v>642</v>
      </c>
      <c r="T13">
        <v>817</v>
      </c>
      <c r="U13" s="1">
        <v>45491</v>
      </c>
      <c r="V13" s="1">
        <v>45524</v>
      </c>
      <c r="W13">
        <v>151820</v>
      </c>
      <c r="X13">
        <v>0.998809218</v>
      </c>
      <c r="Y13">
        <v>817.97402850000003</v>
      </c>
      <c r="Z13">
        <f t="shared" si="0"/>
        <v>1.0244046090000001</v>
      </c>
      <c r="AA13">
        <f t="shared" si="2"/>
        <v>797.53643513722216</v>
      </c>
      <c r="AB13" cm="1">
        <f t="array" ref="AB13">_xlfn.IFS(X13&lt;0.6,T13,0.9&lt;X13,T13,X13,AA13)</f>
        <v>817</v>
      </c>
      <c r="AC13">
        <v>0.99958322600000005</v>
      </c>
      <c r="AD13">
        <v>817.82757319999996</v>
      </c>
      <c r="AE13">
        <v>817</v>
      </c>
      <c r="AG13">
        <v>0</v>
      </c>
      <c r="AH13">
        <v>12</v>
      </c>
    </row>
    <row r="14" spans="1:34" x14ac:dyDescent="0.25">
      <c r="A14" t="s">
        <v>768</v>
      </c>
      <c r="B14" t="s">
        <v>782</v>
      </c>
      <c r="D14" t="s">
        <v>770</v>
      </c>
      <c r="E14">
        <v>13</v>
      </c>
      <c r="H14">
        <v>13001</v>
      </c>
      <c r="I14">
        <v>1</v>
      </c>
      <c r="J14" t="s">
        <v>771</v>
      </c>
      <c r="K14">
        <v>100000</v>
      </c>
      <c r="L14" t="s">
        <v>70</v>
      </c>
      <c r="M14">
        <v>67</v>
      </c>
      <c r="N14">
        <v>1301</v>
      </c>
      <c r="O14">
        <v>13</v>
      </c>
      <c r="P14">
        <v>1</v>
      </c>
      <c r="Q14">
        <v>40</v>
      </c>
      <c r="R14">
        <v>19.5</v>
      </c>
      <c r="S14">
        <v>1360</v>
      </c>
      <c r="T14">
        <v>1757</v>
      </c>
      <c r="U14" s="1">
        <v>45498</v>
      </c>
      <c r="V14" s="1">
        <v>45536</v>
      </c>
      <c r="W14">
        <v>129422</v>
      </c>
      <c r="X14">
        <v>0.85145492499999997</v>
      </c>
      <c r="Y14">
        <v>2063.526734</v>
      </c>
      <c r="Z14">
        <f t="shared" si="0"/>
        <v>0.95072746249999995</v>
      </c>
      <c r="AA14">
        <f t="shared" si="2"/>
        <v>1848.058533388584</v>
      </c>
      <c r="AB14" cm="1">
        <f t="array" ref="AB14">_xlfn.IFS(X14&lt;0.6,T14,0.9&lt;X14,T14,X14,AA14)</f>
        <v>1848.058533388584</v>
      </c>
      <c r="AC14">
        <v>0.94800922399999998</v>
      </c>
      <c r="AD14">
        <v>2002.055216</v>
      </c>
      <c r="AE14">
        <v>2002.055216</v>
      </c>
      <c r="AG14">
        <v>0</v>
      </c>
      <c r="AH14">
        <v>13</v>
      </c>
    </row>
    <row r="15" spans="1:34" x14ac:dyDescent="0.25">
      <c r="A15" t="s">
        <v>768</v>
      </c>
      <c r="B15" t="s">
        <v>783</v>
      </c>
      <c r="D15" t="s">
        <v>770</v>
      </c>
      <c r="E15">
        <v>14</v>
      </c>
      <c r="H15">
        <v>14001</v>
      </c>
      <c r="I15">
        <v>1</v>
      </c>
      <c r="J15" t="s">
        <v>771</v>
      </c>
      <c r="K15">
        <v>100000</v>
      </c>
      <c r="L15" t="s">
        <v>58</v>
      </c>
      <c r="M15">
        <v>69</v>
      </c>
      <c r="N15">
        <v>1401</v>
      </c>
      <c r="O15">
        <v>14</v>
      </c>
      <c r="P15">
        <v>1</v>
      </c>
      <c r="Q15">
        <v>61</v>
      </c>
      <c r="R15">
        <v>20.100000000000001</v>
      </c>
      <c r="S15">
        <v>427</v>
      </c>
      <c r="T15">
        <v>547</v>
      </c>
      <c r="U15" s="1">
        <v>45491</v>
      </c>
      <c r="V15" s="1">
        <v>45525</v>
      </c>
      <c r="W15">
        <v>150318</v>
      </c>
      <c r="X15">
        <v>0.988953729</v>
      </c>
      <c r="Y15">
        <v>553.10980059999997</v>
      </c>
      <c r="Z15">
        <f t="shared" si="0"/>
        <v>1.0194768645000001</v>
      </c>
      <c r="AA15">
        <f t="shared" si="2"/>
        <v>536.54969430647634</v>
      </c>
      <c r="AB15" cm="1">
        <f t="array" ref="AB15">_xlfn.IFS(X15&lt;0.6,T15,0.9&lt;X15,T15,X15,AA15)</f>
        <v>547</v>
      </c>
      <c r="AC15">
        <v>0.99613380500000004</v>
      </c>
      <c r="AD15">
        <v>552.17274139999995</v>
      </c>
      <c r="AE15">
        <v>547</v>
      </c>
      <c r="AG15">
        <v>0</v>
      </c>
      <c r="AH15">
        <v>14</v>
      </c>
    </row>
    <row r="16" spans="1:34" x14ac:dyDescent="0.25">
      <c r="A16" t="s">
        <v>768</v>
      </c>
      <c r="B16" t="s">
        <v>784</v>
      </c>
      <c r="D16" t="s">
        <v>770</v>
      </c>
      <c r="E16">
        <v>15</v>
      </c>
      <c r="H16">
        <v>15001</v>
      </c>
      <c r="I16">
        <v>1</v>
      </c>
      <c r="J16" t="s">
        <v>771</v>
      </c>
      <c r="K16">
        <v>100000</v>
      </c>
      <c r="L16" t="s">
        <v>38</v>
      </c>
      <c r="M16">
        <v>63</v>
      </c>
      <c r="N16">
        <v>1501</v>
      </c>
      <c r="O16">
        <v>15</v>
      </c>
      <c r="P16">
        <v>1</v>
      </c>
      <c r="Q16">
        <v>40</v>
      </c>
      <c r="R16">
        <v>20.6</v>
      </c>
      <c r="S16">
        <v>1809</v>
      </c>
      <c r="T16">
        <v>2305</v>
      </c>
      <c r="U16" s="1">
        <v>45495</v>
      </c>
      <c r="V16" s="1">
        <v>45533</v>
      </c>
      <c r="W16">
        <v>145383</v>
      </c>
      <c r="X16">
        <v>0.95646081299999997</v>
      </c>
      <c r="Y16">
        <v>2409.9262290000001</v>
      </c>
      <c r="Z16">
        <f t="shared" si="0"/>
        <v>1.0032304064999999</v>
      </c>
      <c r="AA16">
        <f t="shared" si="2"/>
        <v>2297.5778894516593</v>
      </c>
      <c r="AB16" cm="1">
        <f t="array" ref="AB16">_xlfn.IFS(X16&lt;0.6,T16,0.9&lt;X16,T16,X16,AA16)</f>
        <v>2305</v>
      </c>
      <c r="AC16">
        <v>0.98476128500000004</v>
      </c>
      <c r="AD16">
        <v>2392.7581580000001</v>
      </c>
      <c r="AE16">
        <v>2305</v>
      </c>
      <c r="AG16">
        <v>0</v>
      </c>
      <c r="AH16">
        <v>15</v>
      </c>
    </row>
    <row r="17" spans="1:34" x14ac:dyDescent="0.25">
      <c r="A17" t="s">
        <v>768</v>
      </c>
      <c r="B17" t="s">
        <v>785</v>
      </c>
      <c r="D17" t="s">
        <v>770</v>
      </c>
      <c r="E17">
        <v>16</v>
      </c>
      <c r="H17">
        <v>15002</v>
      </c>
      <c r="I17">
        <v>1</v>
      </c>
      <c r="J17" t="s">
        <v>771</v>
      </c>
      <c r="K17">
        <v>150000</v>
      </c>
      <c r="L17" t="s">
        <v>66</v>
      </c>
      <c r="M17">
        <v>87</v>
      </c>
      <c r="N17">
        <v>1502</v>
      </c>
      <c r="O17">
        <v>15</v>
      </c>
      <c r="P17">
        <v>2</v>
      </c>
      <c r="Q17">
        <v>82</v>
      </c>
      <c r="R17">
        <v>22</v>
      </c>
      <c r="S17">
        <v>664</v>
      </c>
      <c r="T17">
        <v>831</v>
      </c>
      <c r="U17" s="1">
        <v>45494</v>
      </c>
      <c r="W17">
        <v>151993</v>
      </c>
      <c r="X17">
        <v>0.99997368399999997</v>
      </c>
      <c r="Y17">
        <v>831.02186940000001</v>
      </c>
      <c r="Z17">
        <f t="shared" si="0"/>
        <v>1.0249868420000001</v>
      </c>
      <c r="AA17">
        <f t="shared" si="2"/>
        <v>810.74211487292428</v>
      </c>
      <c r="AB17" cm="1">
        <f t="array" ref="AB17">_xlfn.IFS(X17&lt;0.6,T17,0.9&lt;X17,T17,X17,AA17)</f>
        <v>831</v>
      </c>
      <c r="AC17">
        <v>0.99999078900000005</v>
      </c>
      <c r="AD17">
        <v>831.01858860000004</v>
      </c>
      <c r="AE17">
        <v>831</v>
      </c>
      <c r="AG17">
        <v>0</v>
      </c>
      <c r="AH17">
        <v>16</v>
      </c>
    </row>
    <row r="18" spans="1:34" x14ac:dyDescent="0.25">
      <c r="A18" t="s">
        <v>768</v>
      </c>
      <c r="B18" t="s">
        <v>786</v>
      </c>
      <c r="D18" t="s">
        <v>770</v>
      </c>
      <c r="E18">
        <v>17</v>
      </c>
      <c r="H18">
        <v>14002</v>
      </c>
      <c r="I18">
        <v>1</v>
      </c>
      <c r="J18" t="s">
        <v>771</v>
      </c>
      <c r="K18">
        <v>150000</v>
      </c>
      <c r="L18" t="s">
        <v>58</v>
      </c>
      <c r="M18">
        <v>84</v>
      </c>
      <c r="N18">
        <v>1402</v>
      </c>
      <c r="O18">
        <v>14</v>
      </c>
      <c r="P18">
        <v>2</v>
      </c>
      <c r="Q18">
        <v>65</v>
      </c>
      <c r="R18">
        <v>20.5</v>
      </c>
      <c r="S18">
        <v>595</v>
      </c>
      <c r="T18">
        <v>759</v>
      </c>
      <c r="U18" s="1">
        <v>45492</v>
      </c>
      <c r="V18" s="1">
        <v>45525</v>
      </c>
      <c r="W18">
        <v>149613</v>
      </c>
      <c r="X18">
        <v>0.98428957699999997</v>
      </c>
      <c r="Y18">
        <v>771.11453549999999</v>
      </c>
      <c r="Z18">
        <f t="shared" si="0"/>
        <v>1.0171447885</v>
      </c>
      <c r="AA18">
        <f t="shared" si="2"/>
        <v>746.20644826712396</v>
      </c>
      <c r="AB18" cm="1">
        <f t="array" ref="AB18">_xlfn.IFS(X18&lt;0.6,T18,0.9&lt;X18,T18,X18,AA18)</f>
        <v>759</v>
      </c>
      <c r="AC18">
        <v>0.99450135200000001</v>
      </c>
      <c r="AD18">
        <v>769.23908489999997</v>
      </c>
      <c r="AE18">
        <v>759</v>
      </c>
      <c r="AG18">
        <v>0</v>
      </c>
      <c r="AH18">
        <v>17</v>
      </c>
    </row>
    <row r="19" spans="1:34" x14ac:dyDescent="0.25">
      <c r="A19" t="s">
        <v>768</v>
      </c>
      <c r="B19" t="s">
        <v>787</v>
      </c>
      <c r="D19" t="s">
        <v>770</v>
      </c>
      <c r="E19">
        <v>18</v>
      </c>
      <c r="H19">
        <v>13002</v>
      </c>
      <c r="I19">
        <v>1</v>
      </c>
      <c r="J19" t="s">
        <v>771</v>
      </c>
      <c r="K19">
        <v>150000</v>
      </c>
      <c r="L19" t="s">
        <v>34</v>
      </c>
      <c r="M19">
        <v>86</v>
      </c>
      <c r="N19">
        <v>1302</v>
      </c>
      <c r="O19">
        <v>13</v>
      </c>
      <c r="P19">
        <v>2</v>
      </c>
      <c r="Q19">
        <v>61</v>
      </c>
      <c r="R19">
        <v>21.2</v>
      </c>
      <c r="S19">
        <v>763</v>
      </c>
      <c r="T19">
        <v>965</v>
      </c>
      <c r="U19" s="1">
        <v>45493</v>
      </c>
      <c r="V19" s="1">
        <v>45530</v>
      </c>
      <c r="W19">
        <v>149562</v>
      </c>
      <c r="X19">
        <v>0.98397347300000004</v>
      </c>
      <c r="Y19">
        <v>980.71749509999995</v>
      </c>
      <c r="Z19">
        <f t="shared" si="0"/>
        <v>1.0169867365</v>
      </c>
      <c r="AA19">
        <f t="shared" si="2"/>
        <v>948.88159831964526</v>
      </c>
      <c r="AB19" cm="1">
        <f t="array" ref="AB19">_xlfn.IFS(X19&lt;0.6,T19,0.9&lt;X19,T19,X19,AA19)</f>
        <v>965</v>
      </c>
      <c r="AC19">
        <v>0.99439071599999995</v>
      </c>
      <c r="AD19">
        <v>978.28273090000005</v>
      </c>
      <c r="AE19">
        <v>965</v>
      </c>
      <c r="AG19">
        <v>0</v>
      </c>
      <c r="AH19">
        <v>18</v>
      </c>
    </row>
    <row r="20" spans="1:34" x14ac:dyDescent="0.25">
      <c r="A20" t="s">
        <v>768</v>
      </c>
      <c r="B20" t="s">
        <v>788</v>
      </c>
      <c r="D20" t="s">
        <v>770</v>
      </c>
      <c r="E20">
        <v>19</v>
      </c>
      <c r="H20">
        <v>12002</v>
      </c>
      <c r="I20">
        <v>1</v>
      </c>
      <c r="J20" t="s">
        <v>771</v>
      </c>
      <c r="K20">
        <v>150000</v>
      </c>
      <c r="L20" t="s">
        <v>54</v>
      </c>
      <c r="M20">
        <v>85</v>
      </c>
      <c r="N20">
        <v>1202</v>
      </c>
      <c r="O20">
        <v>12</v>
      </c>
      <c r="P20">
        <v>2</v>
      </c>
      <c r="Q20">
        <v>57</v>
      </c>
      <c r="R20">
        <v>21.2</v>
      </c>
      <c r="S20">
        <v>1338</v>
      </c>
      <c r="T20">
        <v>1692</v>
      </c>
      <c r="U20" s="1">
        <v>45492</v>
      </c>
      <c r="V20" s="1">
        <v>45526</v>
      </c>
      <c r="W20">
        <v>150834</v>
      </c>
      <c r="X20">
        <v>0.99234200500000003</v>
      </c>
      <c r="Y20">
        <v>1705.057321</v>
      </c>
      <c r="Z20">
        <f t="shared" si="0"/>
        <v>1.0211710025</v>
      </c>
      <c r="AA20">
        <f t="shared" si="2"/>
        <v>1656.9213147040962</v>
      </c>
      <c r="AB20" cm="1">
        <f t="array" ref="AB20">_xlfn.IFS(X20&lt;0.6,T20,0.9&lt;X20,T20,X20,AA20)</f>
        <v>1692</v>
      </c>
      <c r="AC20">
        <v>0.99731970199999997</v>
      </c>
      <c r="AD20">
        <v>1703.068297</v>
      </c>
      <c r="AE20">
        <v>1692</v>
      </c>
      <c r="AG20">
        <v>0</v>
      </c>
      <c r="AH20">
        <v>19</v>
      </c>
    </row>
    <row r="21" spans="1:34" x14ac:dyDescent="0.25">
      <c r="A21" t="s">
        <v>768</v>
      </c>
      <c r="B21" t="s">
        <v>789</v>
      </c>
      <c r="D21" t="s">
        <v>770</v>
      </c>
      <c r="E21">
        <v>20</v>
      </c>
      <c r="H21">
        <v>11002</v>
      </c>
      <c r="I21">
        <v>1</v>
      </c>
      <c r="J21" t="s">
        <v>771</v>
      </c>
      <c r="K21">
        <v>150000</v>
      </c>
      <c r="L21" t="s">
        <v>50</v>
      </c>
      <c r="M21">
        <v>79</v>
      </c>
      <c r="N21">
        <v>1102</v>
      </c>
      <c r="O21">
        <v>11</v>
      </c>
      <c r="P21">
        <v>2</v>
      </c>
      <c r="Q21">
        <v>70</v>
      </c>
      <c r="R21">
        <v>23</v>
      </c>
      <c r="S21">
        <v>963</v>
      </c>
      <c r="T21">
        <v>1190</v>
      </c>
      <c r="U21" s="1">
        <v>45498</v>
      </c>
      <c r="V21" s="1">
        <v>45538</v>
      </c>
      <c r="W21">
        <v>149803</v>
      </c>
      <c r="X21">
        <v>0.98554605299999998</v>
      </c>
      <c r="Y21">
        <v>1207.452454</v>
      </c>
      <c r="Z21">
        <f t="shared" si="0"/>
        <v>1.0177730265</v>
      </c>
      <c r="AA21">
        <f t="shared" si="2"/>
        <v>1169.2194320498629</v>
      </c>
      <c r="AB21" cm="1">
        <f t="array" ref="AB21">_xlfn.IFS(X21&lt;0.6,T21,0.9&lt;X21,T21,X21,AA21)</f>
        <v>1190</v>
      </c>
      <c r="AC21">
        <v>0.99494111900000004</v>
      </c>
      <c r="AD21">
        <v>1204.757429</v>
      </c>
      <c r="AE21">
        <v>1190</v>
      </c>
      <c r="AG21">
        <v>0</v>
      </c>
      <c r="AH21">
        <v>20</v>
      </c>
    </row>
    <row r="22" spans="1:34" x14ac:dyDescent="0.25">
      <c r="A22" t="s">
        <v>768</v>
      </c>
      <c r="B22" t="s">
        <v>790</v>
      </c>
      <c r="D22" t="s">
        <v>770</v>
      </c>
      <c r="E22">
        <v>21</v>
      </c>
      <c r="H22">
        <v>10002</v>
      </c>
      <c r="I22">
        <v>1</v>
      </c>
      <c r="J22" t="s">
        <v>771</v>
      </c>
      <c r="K22">
        <v>150000</v>
      </c>
      <c r="L22" t="s">
        <v>42</v>
      </c>
      <c r="M22">
        <v>89</v>
      </c>
      <c r="N22">
        <v>1002</v>
      </c>
      <c r="O22">
        <v>10</v>
      </c>
      <c r="P22">
        <v>2</v>
      </c>
      <c r="Q22">
        <v>45</v>
      </c>
      <c r="R22">
        <v>20.2</v>
      </c>
      <c r="S22">
        <v>1444</v>
      </c>
      <c r="T22">
        <v>1849</v>
      </c>
      <c r="U22" s="1">
        <v>45493</v>
      </c>
      <c r="V22" s="1">
        <v>45528</v>
      </c>
      <c r="W22">
        <v>151879</v>
      </c>
      <c r="X22">
        <v>0.99920394700000004</v>
      </c>
      <c r="Y22">
        <v>1850.473074</v>
      </c>
      <c r="Z22">
        <f t="shared" si="0"/>
        <v>1.0246019735</v>
      </c>
      <c r="AA22">
        <f t="shared" si="2"/>
        <v>1804.6031998980918</v>
      </c>
      <c r="AB22" cm="1">
        <f t="array" ref="AB22">_xlfn.IFS(X22&lt;0.6,T22,0.9&lt;X22,T22,X22,AA22)</f>
        <v>1849</v>
      </c>
      <c r="AC22">
        <v>0.99972138099999996</v>
      </c>
      <c r="AD22">
        <v>1850.2517580000001</v>
      </c>
      <c r="AE22">
        <v>1849</v>
      </c>
      <c r="AG22">
        <v>0</v>
      </c>
      <c r="AH22">
        <v>21</v>
      </c>
    </row>
    <row r="23" spans="1:34" x14ac:dyDescent="0.25">
      <c r="A23" t="s">
        <v>768</v>
      </c>
      <c r="B23" t="s">
        <v>791</v>
      </c>
      <c r="D23" t="s">
        <v>770</v>
      </c>
      <c r="E23">
        <v>22</v>
      </c>
      <c r="H23">
        <v>9002</v>
      </c>
      <c r="I23">
        <v>1</v>
      </c>
      <c r="J23" t="s">
        <v>771</v>
      </c>
      <c r="K23">
        <v>150000</v>
      </c>
      <c r="L23" t="s">
        <v>74</v>
      </c>
      <c r="M23">
        <v>76</v>
      </c>
      <c r="N23">
        <v>902</v>
      </c>
      <c r="O23">
        <v>9</v>
      </c>
      <c r="P23">
        <v>2</v>
      </c>
      <c r="Q23">
        <v>28</v>
      </c>
      <c r="R23">
        <v>20.3</v>
      </c>
      <c r="S23">
        <v>2220</v>
      </c>
      <c r="T23">
        <v>2839</v>
      </c>
      <c r="U23" s="1">
        <v>45497</v>
      </c>
      <c r="V23" s="1">
        <v>45535</v>
      </c>
      <c r="W23">
        <v>147339</v>
      </c>
      <c r="X23">
        <v>0.96932277200000005</v>
      </c>
      <c r="Y23">
        <v>2928.8489669999999</v>
      </c>
      <c r="Z23">
        <f t="shared" si="0"/>
        <v>1.0096613860000001</v>
      </c>
      <c r="AA23">
        <f t="shared" si="2"/>
        <v>2811.8337884024018</v>
      </c>
      <c r="AB23" cm="1">
        <f t="array" ref="AB23">_xlfn.IFS(X23&lt;0.6,T23,0.9&lt;X23,T23,X23,AA23)</f>
        <v>2839</v>
      </c>
      <c r="AC23">
        <v>0.98926296999999996</v>
      </c>
      <c r="AD23">
        <v>2914.5179360000002</v>
      </c>
      <c r="AE23">
        <v>2839</v>
      </c>
      <c r="AG23">
        <v>0</v>
      </c>
      <c r="AH23">
        <v>22</v>
      </c>
    </row>
    <row r="24" spans="1:34" x14ac:dyDescent="0.25">
      <c r="A24" t="s">
        <v>768</v>
      </c>
      <c r="B24" t="s">
        <v>792</v>
      </c>
      <c r="D24" t="s">
        <v>770</v>
      </c>
      <c r="E24">
        <v>23</v>
      </c>
      <c r="H24">
        <v>8002</v>
      </c>
      <c r="I24">
        <v>1</v>
      </c>
      <c r="J24" t="s">
        <v>771</v>
      </c>
      <c r="K24">
        <v>150000</v>
      </c>
      <c r="L24" t="s">
        <v>80</v>
      </c>
      <c r="M24">
        <v>77</v>
      </c>
      <c r="N24">
        <v>802</v>
      </c>
      <c r="O24">
        <v>8</v>
      </c>
      <c r="P24">
        <v>2</v>
      </c>
      <c r="Q24">
        <v>60</v>
      </c>
      <c r="R24">
        <v>19</v>
      </c>
      <c r="S24">
        <v>1885</v>
      </c>
      <c r="T24">
        <v>2450</v>
      </c>
      <c r="U24" s="1">
        <v>45496</v>
      </c>
      <c r="V24" s="1">
        <v>45533</v>
      </c>
      <c r="W24">
        <v>151632</v>
      </c>
      <c r="X24">
        <v>0.99757894700000005</v>
      </c>
      <c r="Y24">
        <v>2455.9459740000002</v>
      </c>
      <c r="Z24">
        <f t="shared" si="0"/>
        <v>1.0237894734999999</v>
      </c>
      <c r="AA24">
        <f t="shared" si="2"/>
        <v>2393.0701217548708</v>
      </c>
      <c r="AB24" cm="1">
        <f t="array" ref="AB24">_xlfn.IFS(X24&lt;0.6,T24,0.9&lt;X24,T24,X24,AA24)</f>
        <v>2450</v>
      </c>
      <c r="AC24">
        <v>0.99915263099999996</v>
      </c>
      <c r="AD24">
        <v>2455.049716</v>
      </c>
      <c r="AE24">
        <v>2450</v>
      </c>
      <c r="AG24">
        <v>0</v>
      </c>
      <c r="AH24">
        <v>23</v>
      </c>
    </row>
    <row r="25" spans="1:34" x14ac:dyDescent="0.25">
      <c r="A25" t="s">
        <v>768</v>
      </c>
      <c r="B25" t="s">
        <v>793</v>
      </c>
      <c r="D25" t="s">
        <v>770</v>
      </c>
      <c r="E25">
        <v>24</v>
      </c>
      <c r="H25">
        <v>7002</v>
      </c>
      <c r="I25">
        <v>1</v>
      </c>
      <c r="J25" t="s">
        <v>771</v>
      </c>
      <c r="K25">
        <v>150000</v>
      </c>
      <c r="L25" t="s">
        <v>62</v>
      </c>
      <c r="M25">
        <v>88</v>
      </c>
      <c r="N25">
        <v>702</v>
      </c>
      <c r="O25">
        <v>7</v>
      </c>
      <c r="P25">
        <v>2</v>
      </c>
      <c r="Q25">
        <v>27</v>
      </c>
      <c r="R25">
        <v>20</v>
      </c>
      <c r="S25">
        <v>2001</v>
      </c>
      <c r="T25">
        <v>2569</v>
      </c>
      <c r="U25" s="1">
        <v>45497</v>
      </c>
      <c r="V25" s="1">
        <v>45534</v>
      </c>
      <c r="W25">
        <v>123769</v>
      </c>
      <c r="X25">
        <v>0.81426973700000005</v>
      </c>
      <c r="Y25">
        <v>3154.9741859999999</v>
      </c>
      <c r="Z25">
        <f t="shared" si="0"/>
        <v>0.93213486850000005</v>
      </c>
      <c r="AA25">
        <f t="shared" si="2"/>
        <v>2756.0389454522374</v>
      </c>
      <c r="AB25" cm="1">
        <f t="array" ref="AB25">_xlfn.IFS(X25&lt;0.6,T25,0.9&lt;X25,T25,X25,AA25)</f>
        <v>2756.0389454522374</v>
      </c>
      <c r="AC25">
        <v>0.934994408</v>
      </c>
      <c r="AD25">
        <v>3028.888109</v>
      </c>
      <c r="AE25">
        <v>3028.888109</v>
      </c>
      <c r="AG25">
        <v>0</v>
      </c>
      <c r="AH25">
        <v>24</v>
      </c>
    </row>
    <row r="26" spans="1:34" x14ac:dyDescent="0.25">
      <c r="A26" t="s">
        <v>768</v>
      </c>
      <c r="B26" t="s">
        <v>794</v>
      </c>
      <c r="D26" t="s">
        <v>770</v>
      </c>
      <c r="E26">
        <v>25</v>
      </c>
      <c r="H26">
        <v>6002</v>
      </c>
      <c r="I26">
        <v>1</v>
      </c>
      <c r="J26" t="s">
        <v>771</v>
      </c>
      <c r="K26">
        <v>150000</v>
      </c>
      <c r="L26" t="s">
        <v>46</v>
      </c>
      <c r="M26">
        <v>80</v>
      </c>
      <c r="N26">
        <v>602</v>
      </c>
      <c r="O26">
        <v>6</v>
      </c>
      <c r="P26">
        <v>2</v>
      </c>
      <c r="Q26">
        <v>27</v>
      </c>
      <c r="R26">
        <v>19.399999999999999</v>
      </c>
      <c r="S26">
        <v>2351</v>
      </c>
      <c r="T26">
        <v>3041</v>
      </c>
      <c r="U26" s="1">
        <v>45493</v>
      </c>
      <c r="V26" s="1">
        <v>45531</v>
      </c>
      <c r="W26">
        <v>151962</v>
      </c>
      <c r="X26">
        <v>0.99976315500000001</v>
      </c>
      <c r="Y26">
        <v>3041.720417</v>
      </c>
      <c r="Z26">
        <f t="shared" si="0"/>
        <v>1.0248815775</v>
      </c>
      <c r="AA26">
        <f t="shared" si="2"/>
        <v>2967.1720779857615</v>
      </c>
      <c r="AB26" cm="1">
        <f t="array" ref="AB26">_xlfn.IFS(X26&lt;0.6,T26,0.9&lt;X26,T26,X26,AA26)</f>
        <v>3041</v>
      </c>
      <c r="AC26">
        <v>0.999917104</v>
      </c>
      <c r="AD26">
        <v>3041.612302</v>
      </c>
      <c r="AE26">
        <v>3041</v>
      </c>
      <c r="AG26">
        <v>0</v>
      </c>
      <c r="AH26">
        <v>25</v>
      </c>
    </row>
    <row r="27" spans="1:34" x14ac:dyDescent="0.25">
      <c r="A27" t="s">
        <v>768</v>
      </c>
      <c r="B27" t="s">
        <v>795</v>
      </c>
      <c r="D27" t="s">
        <v>770</v>
      </c>
      <c r="E27">
        <v>26</v>
      </c>
      <c r="H27">
        <v>5002</v>
      </c>
      <c r="I27">
        <v>1</v>
      </c>
      <c r="J27" t="s">
        <v>771</v>
      </c>
      <c r="K27">
        <v>150000</v>
      </c>
      <c r="L27" t="s">
        <v>26</v>
      </c>
      <c r="M27">
        <v>83</v>
      </c>
      <c r="N27">
        <v>502</v>
      </c>
      <c r="O27">
        <v>5</v>
      </c>
      <c r="P27">
        <v>2</v>
      </c>
      <c r="Q27">
        <v>48</v>
      </c>
      <c r="R27">
        <v>18.899999999999999</v>
      </c>
      <c r="S27">
        <v>1705</v>
      </c>
      <c r="T27">
        <v>2219</v>
      </c>
      <c r="U27" s="1">
        <v>45495</v>
      </c>
      <c r="V27" s="1">
        <v>45532</v>
      </c>
      <c r="W27">
        <v>149375</v>
      </c>
      <c r="X27">
        <v>0.98272379799999998</v>
      </c>
      <c r="Y27">
        <v>2258.009834</v>
      </c>
      <c r="Z27">
        <f t="shared" si="0"/>
        <v>1.0163618990000001</v>
      </c>
      <c r="AA27">
        <f t="shared" si="2"/>
        <v>2183.2774351176263</v>
      </c>
      <c r="AB27" cm="1">
        <f t="array" ref="AB27">_xlfn.IFS(X27&lt;0.6,T27,0.9&lt;X27,T27,X27,AA27)</f>
        <v>2219</v>
      </c>
      <c r="AC27">
        <v>0.993953329</v>
      </c>
      <c r="AD27">
        <v>2251.9517740000001</v>
      </c>
      <c r="AE27">
        <v>2219</v>
      </c>
      <c r="AG27">
        <v>0</v>
      </c>
      <c r="AH27">
        <v>26</v>
      </c>
    </row>
    <row r="28" spans="1:34" x14ac:dyDescent="0.25">
      <c r="A28" t="s">
        <v>768</v>
      </c>
      <c r="B28" t="s">
        <v>796</v>
      </c>
      <c r="D28" t="s">
        <v>770</v>
      </c>
      <c r="E28">
        <v>27</v>
      </c>
      <c r="H28">
        <v>4002</v>
      </c>
      <c r="I28">
        <v>1</v>
      </c>
      <c r="J28" t="s">
        <v>771</v>
      </c>
      <c r="K28">
        <v>150000</v>
      </c>
      <c r="L28" t="s">
        <v>70</v>
      </c>
      <c r="M28">
        <v>82</v>
      </c>
      <c r="N28">
        <v>402</v>
      </c>
      <c r="O28">
        <v>4</v>
      </c>
      <c r="P28">
        <v>2</v>
      </c>
      <c r="Q28">
        <v>38</v>
      </c>
      <c r="R28">
        <v>19.7</v>
      </c>
      <c r="S28">
        <v>1394</v>
      </c>
      <c r="T28">
        <v>1796</v>
      </c>
      <c r="U28" s="1">
        <v>45493</v>
      </c>
      <c r="V28" s="1">
        <v>45530</v>
      </c>
      <c r="W28">
        <v>144312</v>
      </c>
      <c r="X28">
        <v>0.94941480600000006</v>
      </c>
      <c r="Y28">
        <v>1891.691585</v>
      </c>
      <c r="Z28">
        <f t="shared" si="0"/>
        <v>0.99970740300000005</v>
      </c>
      <c r="AA28">
        <f t="shared" si="2"/>
        <v>1796.5256580179589</v>
      </c>
      <c r="AB28" cm="1">
        <f t="array" ref="AB28">_xlfn.IFS(X28&lt;0.6,T28,0.9&lt;X28,T28,X28,AA28)</f>
        <v>1796</v>
      </c>
      <c r="AC28">
        <v>0.98229518199999999</v>
      </c>
      <c r="AD28">
        <v>1875.815214</v>
      </c>
      <c r="AE28">
        <v>1796</v>
      </c>
      <c r="AG28">
        <v>0</v>
      </c>
      <c r="AH28">
        <v>27</v>
      </c>
    </row>
    <row r="29" spans="1:34" x14ac:dyDescent="0.25">
      <c r="A29" t="s">
        <v>768</v>
      </c>
      <c r="B29" t="s">
        <v>797</v>
      </c>
      <c r="D29" t="s">
        <v>770</v>
      </c>
      <c r="E29">
        <v>28</v>
      </c>
      <c r="H29">
        <v>3002</v>
      </c>
      <c r="I29">
        <v>1</v>
      </c>
      <c r="J29" t="s">
        <v>771</v>
      </c>
      <c r="K29">
        <v>150000</v>
      </c>
      <c r="L29" t="s">
        <v>30</v>
      </c>
      <c r="M29">
        <v>90</v>
      </c>
      <c r="N29">
        <v>302</v>
      </c>
      <c r="O29">
        <v>3</v>
      </c>
      <c r="P29">
        <v>2</v>
      </c>
      <c r="Q29">
        <v>25</v>
      </c>
      <c r="R29">
        <v>19.399999999999999</v>
      </c>
      <c r="S29">
        <v>2071</v>
      </c>
      <c r="T29">
        <v>2678</v>
      </c>
      <c r="U29" s="1">
        <v>45495</v>
      </c>
      <c r="V29" s="1">
        <v>45530</v>
      </c>
      <c r="W29">
        <v>148840</v>
      </c>
      <c r="X29">
        <v>0.97921052600000003</v>
      </c>
      <c r="Y29">
        <v>2734.856221</v>
      </c>
      <c r="Z29">
        <f t="shared" si="0"/>
        <v>1.014605263</v>
      </c>
      <c r="AA29">
        <f t="shared" si="2"/>
        <v>2639.4501365798651</v>
      </c>
      <c r="AB29" cm="1">
        <f t="array" ref="AB29">_xlfn.IFS(X29&lt;0.6,T29,0.9&lt;X29,T29,X29,AA29)</f>
        <v>2678</v>
      </c>
      <c r="AC29">
        <v>0.992723684</v>
      </c>
      <c r="AD29">
        <v>2725.9644830000002</v>
      </c>
      <c r="AE29">
        <v>2678</v>
      </c>
      <c r="AG29">
        <v>0</v>
      </c>
      <c r="AH29">
        <v>28</v>
      </c>
    </row>
    <row r="30" spans="1:34" x14ac:dyDescent="0.25">
      <c r="A30" t="s">
        <v>768</v>
      </c>
      <c r="B30" t="s">
        <v>798</v>
      </c>
      <c r="D30" t="s">
        <v>770</v>
      </c>
      <c r="E30">
        <v>29</v>
      </c>
      <c r="H30">
        <v>2002</v>
      </c>
      <c r="I30">
        <v>1</v>
      </c>
      <c r="J30" t="s">
        <v>771</v>
      </c>
      <c r="K30">
        <v>150000</v>
      </c>
      <c r="L30" t="s">
        <v>38</v>
      </c>
      <c r="M30">
        <v>78</v>
      </c>
      <c r="N30">
        <v>202</v>
      </c>
      <c r="O30">
        <v>2</v>
      </c>
      <c r="P30">
        <v>2</v>
      </c>
      <c r="U30" s="1">
        <v>45493</v>
      </c>
      <c r="V30" s="1">
        <v>45534</v>
      </c>
      <c r="W30">
        <v>149240</v>
      </c>
      <c r="X30">
        <v>0.98184210500000002</v>
      </c>
      <c r="AG30">
        <v>0</v>
      </c>
      <c r="AH30">
        <v>29</v>
      </c>
    </row>
    <row r="31" spans="1:34" x14ac:dyDescent="0.25">
      <c r="A31" t="s">
        <v>768</v>
      </c>
      <c r="B31" t="s">
        <v>799</v>
      </c>
      <c r="D31" t="s">
        <v>770</v>
      </c>
      <c r="E31">
        <v>30</v>
      </c>
      <c r="H31">
        <v>1002</v>
      </c>
      <c r="I31">
        <v>1</v>
      </c>
      <c r="J31" t="s">
        <v>771</v>
      </c>
      <c r="K31">
        <v>150000</v>
      </c>
      <c r="L31" t="s">
        <v>78</v>
      </c>
      <c r="M31">
        <v>81</v>
      </c>
      <c r="N31">
        <v>102</v>
      </c>
      <c r="O31">
        <v>1</v>
      </c>
      <c r="P31">
        <v>2</v>
      </c>
      <c r="Q31">
        <v>47</v>
      </c>
      <c r="R31">
        <v>19.2</v>
      </c>
      <c r="S31">
        <v>1967</v>
      </c>
      <c r="T31">
        <v>2550</v>
      </c>
      <c r="U31" s="1">
        <v>45490</v>
      </c>
      <c r="V31" s="1">
        <v>45524</v>
      </c>
      <c r="W31">
        <v>143320</v>
      </c>
      <c r="X31">
        <v>0.94289473700000004</v>
      </c>
      <c r="Y31">
        <v>2704.4376219999999</v>
      </c>
      <c r="Z31">
        <f>1-((0.95-X31)*0.5)</f>
        <v>0.99644736850000004</v>
      </c>
      <c r="AA31">
        <f>T31/Z31</f>
        <v>2559.0915091066345</v>
      </c>
      <c r="AB31" cm="1">
        <f t="array" ref="AB31">_xlfn.IFS(X31&lt;0.6,T31,0.9&lt;X31,T31,X31,AA31)</f>
        <v>2550</v>
      </c>
      <c r="AC31">
        <v>0.980013158</v>
      </c>
      <c r="AD31">
        <v>2678.4836359999999</v>
      </c>
      <c r="AE31">
        <v>2550</v>
      </c>
      <c r="AG31">
        <v>0</v>
      </c>
      <c r="AH31">
        <v>30</v>
      </c>
    </row>
    <row r="32" spans="1:34" x14ac:dyDescent="0.25">
      <c r="A32" t="s">
        <v>768</v>
      </c>
      <c r="B32" t="s">
        <v>800</v>
      </c>
      <c r="D32" t="s">
        <v>770</v>
      </c>
      <c r="E32">
        <v>31</v>
      </c>
      <c r="H32">
        <v>1003</v>
      </c>
      <c r="I32">
        <v>1</v>
      </c>
      <c r="J32" t="s">
        <v>771</v>
      </c>
      <c r="K32">
        <v>75000</v>
      </c>
      <c r="L32" t="s">
        <v>54</v>
      </c>
      <c r="M32">
        <v>55</v>
      </c>
      <c r="N32">
        <v>103</v>
      </c>
      <c r="O32">
        <v>1</v>
      </c>
      <c r="P32">
        <v>3</v>
      </c>
      <c r="U32" s="1">
        <v>45489</v>
      </c>
      <c r="V32" s="1">
        <v>45525</v>
      </c>
      <c r="W32">
        <v>149940</v>
      </c>
      <c r="X32">
        <v>0.98644087899999999</v>
      </c>
      <c r="AG32">
        <v>0</v>
      </c>
      <c r="AH32">
        <v>31</v>
      </c>
    </row>
    <row r="33" spans="1:34" x14ac:dyDescent="0.25">
      <c r="A33" t="s">
        <v>768</v>
      </c>
      <c r="B33" t="s">
        <v>801</v>
      </c>
      <c r="D33" t="s">
        <v>770</v>
      </c>
      <c r="E33">
        <v>32</v>
      </c>
      <c r="H33">
        <v>2003</v>
      </c>
      <c r="I33">
        <v>1</v>
      </c>
      <c r="J33" t="s">
        <v>771</v>
      </c>
      <c r="K33">
        <v>75000</v>
      </c>
      <c r="L33" t="s">
        <v>62</v>
      </c>
      <c r="M33">
        <v>58</v>
      </c>
      <c r="N33">
        <v>203</v>
      </c>
      <c r="O33">
        <v>2</v>
      </c>
      <c r="P33">
        <v>3</v>
      </c>
      <c r="Q33">
        <v>38</v>
      </c>
      <c r="R33">
        <v>21</v>
      </c>
      <c r="S33">
        <v>1637</v>
      </c>
      <c r="T33">
        <v>2075</v>
      </c>
      <c r="U33" s="1">
        <v>45497</v>
      </c>
      <c r="V33" s="1">
        <v>45534</v>
      </c>
      <c r="W33">
        <v>147503</v>
      </c>
      <c r="X33">
        <v>0.97040808899999997</v>
      </c>
      <c r="Y33">
        <v>2138.275662</v>
      </c>
      <c r="Z33">
        <f t="shared" ref="Z33:Z46" si="3">1-((0.95-X33)*0.5)</f>
        <v>1.0102040445</v>
      </c>
      <c r="AA33">
        <f t="shared" ref="AA33:AA46" si="4">T33/Z33</f>
        <v>2054.0404795419527</v>
      </c>
      <c r="AB33" cm="1">
        <f t="array" ref="AB33">_xlfn.IFS(X33&lt;0.6,T33,0.9&lt;X33,T33,X33,AA33)</f>
        <v>2075</v>
      </c>
      <c r="AC33">
        <v>0.98964283099999995</v>
      </c>
      <c r="AD33">
        <v>2128.204866</v>
      </c>
      <c r="AE33">
        <v>2075</v>
      </c>
      <c r="AG33">
        <v>0</v>
      </c>
      <c r="AH33">
        <v>32</v>
      </c>
    </row>
    <row r="34" spans="1:34" x14ac:dyDescent="0.25">
      <c r="A34" t="s">
        <v>768</v>
      </c>
      <c r="B34" t="s">
        <v>802</v>
      </c>
      <c r="D34" t="s">
        <v>770</v>
      </c>
      <c r="E34">
        <v>33</v>
      </c>
      <c r="H34">
        <v>3003</v>
      </c>
      <c r="I34">
        <v>1</v>
      </c>
      <c r="J34" t="s">
        <v>771</v>
      </c>
      <c r="K34">
        <v>75000</v>
      </c>
      <c r="L34" t="s">
        <v>80</v>
      </c>
      <c r="M34">
        <v>47</v>
      </c>
      <c r="N34">
        <v>303</v>
      </c>
      <c r="O34">
        <v>3</v>
      </c>
      <c r="P34">
        <v>3</v>
      </c>
      <c r="Q34">
        <v>26</v>
      </c>
      <c r="R34">
        <v>21.7</v>
      </c>
      <c r="S34">
        <v>1836</v>
      </c>
      <c r="T34">
        <v>2307</v>
      </c>
      <c r="U34" s="1">
        <v>45496</v>
      </c>
      <c r="V34" s="1">
        <v>45535</v>
      </c>
      <c r="W34">
        <v>134790</v>
      </c>
      <c r="X34">
        <v>0.88678215000000005</v>
      </c>
      <c r="Y34">
        <v>2601.5408640000001</v>
      </c>
      <c r="Z34">
        <f t="shared" si="3"/>
        <v>0.96839107499999999</v>
      </c>
      <c r="AA34">
        <f t="shared" si="4"/>
        <v>2382.3020054165618</v>
      </c>
      <c r="AB34" cm="1">
        <f t="array" ref="AB34">_xlfn.IFS(X34&lt;0.6,T34,0.9&lt;X34,T34,X34,AA34)</f>
        <v>2382.3020054165618</v>
      </c>
      <c r="AC34">
        <v>0.96037375300000005</v>
      </c>
      <c r="AD34">
        <v>2546.3350559999999</v>
      </c>
      <c r="AE34">
        <v>2546.3350559999999</v>
      </c>
      <c r="AG34">
        <v>0</v>
      </c>
      <c r="AH34">
        <v>33</v>
      </c>
    </row>
    <row r="35" spans="1:34" x14ac:dyDescent="0.25">
      <c r="A35" t="s">
        <v>768</v>
      </c>
      <c r="B35" t="s">
        <v>803</v>
      </c>
      <c r="D35" t="s">
        <v>770</v>
      </c>
      <c r="E35">
        <v>34</v>
      </c>
      <c r="H35">
        <v>4003</v>
      </c>
      <c r="I35">
        <v>1</v>
      </c>
      <c r="J35" t="s">
        <v>771</v>
      </c>
      <c r="K35">
        <v>75000</v>
      </c>
      <c r="L35" t="s">
        <v>30</v>
      </c>
      <c r="M35">
        <v>60</v>
      </c>
      <c r="N35">
        <v>403</v>
      </c>
      <c r="O35">
        <v>4</v>
      </c>
      <c r="P35">
        <v>3</v>
      </c>
      <c r="Q35">
        <v>28</v>
      </c>
      <c r="R35">
        <v>19.600000000000001</v>
      </c>
      <c r="S35">
        <v>1320</v>
      </c>
      <c r="T35">
        <v>1703</v>
      </c>
      <c r="U35" s="1">
        <v>45496</v>
      </c>
      <c r="V35" s="1">
        <v>45530</v>
      </c>
      <c r="W35">
        <v>126330</v>
      </c>
      <c r="X35">
        <v>0.83111295299999999</v>
      </c>
      <c r="Y35">
        <v>2049.0596300000002</v>
      </c>
      <c r="Z35">
        <f t="shared" si="3"/>
        <v>0.94055647650000007</v>
      </c>
      <c r="AA35">
        <f t="shared" si="4"/>
        <v>1810.6302412984339</v>
      </c>
      <c r="AB35" cm="1">
        <f t="array" ref="AB35">_xlfn.IFS(X35&lt;0.6,T35,0.9&lt;X35,T35,X35,AA35)</f>
        <v>1810.6302412984339</v>
      </c>
      <c r="AC35">
        <v>0.94088953399999997</v>
      </c>
      <c r="AD35">
        <v>1976.9280859999999</v>
      </c>
      <c r="AE35">
        <v>1976.9280859999999</v>
      </c>
      <c r="AG35">
        <v>0</v>
      </c>
      <c r="AH35">
        <v>34</v>
      </c>
    </row>
    <row r="36" spans="1:34" x14ac:dyDescent="0.25">
      <c r="A36" t="s">
        <v>768</v>
      </c>
      <c r="B36" t="s">
        <v>804</v>
      </c>
      <c r="D36" t="s">
        <v>770</v>
      </c>
      <c r="E36">
        <v>35</v>
      </c>
      <c r="H36">
        <v>5003</v>
      </c>
      <c r="I36">
        <v>1</v>
      </c>
      <c r="J36" t="s">
        <v>771</v>
      </c>
      <c r="K36">
        <v>75000</v>
      </c>
      <c r="L36" t="s">
        <v>66</v>
      </c>
      <c r="M36">
        <v>57</v>
      </c>
      <c r="N36">
        <v>503</v>
      </c>
      <c r="O36">
        <v>5</v>
      </c>
      <c r="P36">
        <v>3</v>
      </c>
      <c r="Q36">
        <v>70</v>
      </c>
      <c r="R36">
        <v>22</v>
      </c>
      <c r="S36">
        <v>693</v>
      </c>
      <c r="T36">
        <v>867</v>
      </c>
      <c r="U36" s="1">
        <v>45495</v>
      </c>
      <c r="W36">
        <v>144507</v>
      </c>
      <c r="X36">
        <v>0.950691438</v>
      </c>
      <c r="Y36">
        <v>911.96782159999998</v>
      </c>
      <c r="Z36">
        <f t="shared" si="3"/>
        <v>1.000345719</v>
      </c>
      <c r="AA36">
        <f t="shared" si="4"/>
        <v>866.70036521643772</v>
      </c>
      <c r="AB36" cm="1">
        <f t="array" ref="AB36">_xlfn.IFS(X36&lt;0.6,T36,0.9&lt;X36,T36,X36,AA36)</f>
        <v>867</v>
      </c>
      <c r="AC36">
        <v>0.98274200300000003</v>
      </c>
      <c r="AD36">
        <v>904.52587900000003</v>
      </c>
      <c r="AE36">
        <v>867</v>
      </c>
      <c r="AG36">
        <v>0</v>
      </c>
      <c r="AH36">
        <v>35</v>
      </c>
    </row>
    <row r="37" spans="1:34" x14ac:dyDescent="0.25">
      <c r="A37" t="s">
        <v>768</v>
      </c>
      <c r="B37" t="s">
        <v>805</v>
      </c>
      <c r="D37" t="s">
        <v>770</v>
      </c>
      <c r="E37">
        <v>36</v>
      </c>
      <c r="H37">
        <v>6003</v>
      </c>
      <c r="I37">
        <v>1</v>
      </c>
      <c r="J37" t="s">
        <v>771</v>
      </c>
      <c r="K37">
        <v>75000</v>
      </c>
      <c r="L37" t="s">
        <v>78</v>
      </c>
      <c r="M37">
        <v>51</v>
      </c>
      <c r="N37">
        <v>603</v>
      </c>
      <c r="O37">
        <v>6</v>
      </c>
      <c r="P37">
        <v>3</v>
      </c>
      <c r="Q37">
        <v>58</v>
      </c>
      <c r="R37">
        <v>23</v>
      </c>
      <c r="S37">
        <v>828</v>
      </c>
      <c r="T37">
        <v>1023</v>
      </c>
      <c r="U37" s="1">
        <v>45492</v>
      </c>
      <c r="V37" s="1">
        <v>45525</v>
      </c>
      <c r="W37">
        <v>144415</v>
      </c>
      <c r="X37">
        <v>0.95009868399999997</v>
      </c>
      <c r="Y37">
        <v>1076.7302569999999</v>
      </c>
      <c r="Z37">
        <f t="shared" si="3"/>
        <v>1.0000493420000001</v>
      </c>
      <c r="AA37">
        <f t="shared" si="4"/>
        <v>1022.9495256245066</v>
      </c>
      <c r="AB37" cm="1">
        <f t="array" ref="AB37">_xlfn.IFS(X37&lt;0.6,T37,0.9&lt;X37,T37,X37,AA37)</f>
        <v>1023</v>
      </c>
      <c r="AC37">
        <v>0.98253453899999998</v>
      </c>
      <c r="AD37">
        <v>1067.827777</v>
      </c>
      <c r="AE37">
        <v>1023</v>
      </c>
      <c r="AG37">
        <v>0</v>
      </c>
      <c r="AH37">
        <v>36</v>
      </c>
    </row>
    <row r="38" spans="1:34" x14ac:dyDescent="0.25">
      <c r="A38" t="s">
        <v>768</v>
      </c>
      <c r="B38" t="s">
        <v>806</v>
      </c>
      <c r="D38" t="s">
        <v>770</v>
      </c>
      <c r="E38">
        <v>37</v>
      </c>
      <c r="H38">
        <v>7003</v>
      </c>
      <c r="I38">
        <v>1</v>
      </c>
      <c r="J38" t="s">
        <v>771</v>
      </c>
      <c r="K38">
        <v>75000</v>
      </c>
      <c r="L38" t="s">
        <v>58</v>
      </c>
      <c r="M38">
        <v>54</v>
      </c>
      <c r="N38">
        <v>703</v>
      </c>
      <c r="O38">
        <v>7</v>
      </c>
      <c r="P38">
        <v>3</v>
      </c>
      <c r="Q38">
        <v>65</v>
      </c>
      <c r="R38">
        <v>20.6</v>
      </c>
      <c r="S38">
        <v>553</v>
      </c>
      <c r="T38">
        <v>705</v>
      </c>
      <c r="U38" s="1">
        <v>45489</v>
      </c>
      <c r="V38" s="1">
        <v>45524</v>
      </c>
      <c r="W38">
        <v>148085</v>
      </c>
      <c r="X38">
        <v>0.97424342100000005</v>
      </c>
      <c r="Y38">
        <v>723.63845089999995</v>
      </c>
      <c r="Z38">
        <f t="shared" si="3"/>
        <v>1.0121217105</v>
      </c>
      <c r="AA38">
        <f t="shared" si="4"/>
        <v>696.55654323601232</v>
      </c>
      <c r="AB38" cm="1">
        <f t="array" ref="AB38">_xlfn.IFS(X38&lt;0.6,T38,0.9&lt;X38,T38,X38,AA38)</f>
        <v>705</v>
      </c>
      <c r="AC38">
        <v>0.99098519699999998</v>
      </c>
      <c r="AD38">
        <v>720.69456330000003</v>
      </c>
      <c r="AE38">
        <v>705</v>
      </c>
      <c r="AG38">
        <v>0</v>
      </c>
      <c r="AH38">
        <v>37</v>
      </c>
    </row>
    <row r="39" spans="1:34" x14ac:dyDescent="0.25">
      <c r="A39" t="s">
        <v>768</v>
      </c>
      <c r="B39" t="s">
        <v>807</v>
      </c>
      <c r="D39" t="s">
        <v>770</v>
      </c>
      <c r="E39">
        <v>38</v>
      </c>
      <c r="H39">
        <v>8003</v>
      </c>
      <c r="I39">
        <v>1</v>
      </c>
      <c r="J39" t="s">
        <v>771</v>
      </c>
      <c r="K39">
        <v>75000</v>
      </c>
      <c r="L39" t="s">
        <v>50</v>
      </c>
      <c r="M39">
        <v>49</v>
      </c>
      <c r="N39">
        <v>803</v>
      </c>
      <c r="O39">
        <v>8</v>
      </c>
      <c r="P39">
        <v>3</v>
      </c>
      <c r="Q39">
        <v>67</v>
      </c>
      <c r="R39">
        <v>23</v>
      </c>
      <c r="S39">
        <v>722</v>
      </c>
      <c r="T39">
        <v>892</v>
      </c>
      <c r="U39" s="1">
        <v>45496</v>
      </c>
      <c r="W39">
        <v>142067</v>
      </c>
      <c r="X39">
        <v>0.93465746500000002</v>
      </c>
      <c r="Y39">
        <v>954.36032290000003</v>
      </c>
      <c r="Z39">
        <f t="shared" si="3"/>
        <v>0.99232873250000009</v>
      </c>
      <c r="AA39">
        <f t="shared" si="4"/>
        <v>898.8956691325069</v>
      </c>
      <c r="AB39" cm="1">
        <f t="array" ref="AB39">_xlfn.IFS(X39&lt;0.6,T39,0.9&lt;X39,T39,X39,AA39)</f>
        <v>892</v>
      </c>
      <c r="AC39">
        <v>0.97713011299999997</v>
      </c>
      <c r="AD39">
        <v>943.7095918</v>
      </c>
      <c r="AE39">
        <v>892</v>
      </c>
      <c r="AG39">
        <v>0</v>
      </c>
      <c r="AH39">
        <v>38</v>
      </c>
    </row>
    <row r="40" spans="1:34" x14ac:dyDescent="0.25">
      <c r="A40" t="s">
        <v>768</v>
      </c>
      <c r="B40" t="s">
        <v>808</v>
      </c>
      <c r="D40" t="s">
        <v>770</v>
      </c>
      <c r="E40">
        <v>39</v>
      </c>
      <c r="H40">
        <v>9003</v>
      </c>
      <c r="I40">
        <v>1</v>
      </c>
      <c r="J40" t="s">
        <v>771</v>
      </c>
      <c r="K40">
        <v>75000</v>
      </c>
      <c r="L40" t="s">
        <v>42</v>
      </c>
      <c r="M40">
        <v>59</v>
      </c>
      <c r="N40">
        <v>903</v>
      </c>
      <c r="O40">
        <v>9</v>
      </c>
      <c r="P40">
        <v>3</v>
      </c>
      <c r="Q40">
        <v>46</v>
      </c>
      <c r="R40">
        <v>19.600000000000001</v>
      </c>
      <c r="S40">
        <v>1482</v>
      </c>
      <c r="T40">
        <v>1912</v>
      </c>
      <c r="U40" s="1">
        <v>45494</v>
      </c>
      <c r="V40" s="1">
        <v>45530</v>
      </c>
      <c r="W40">
        <v>144393</v>
      </c>
      <c r="X40">
        <v>0.94997894699999996</v>
      </c>
      <c r="Y40">
        <v>2012.6761819999999</v>
      </c>
      <c r="Z40">
        <f t="shared" si="3"/>
        <v>0.9999894735</v>
      </c>
      <c r="AA40">
        <f t="shared" si="4"/>
        <v>1912.0201268798655</v>
      </c>
      <c r="AB40" cm="1">
        <f t="array" ref="AB40">_xlfn.IFS(X40&lt;0.6,T40,0.9&lt;X40,T40,X40,AA40)</f>
        <v>1912</v>
      </c>
      <c r="AC40">
        <v>0.98249263099999995</v>
      </c>
      <c r="AD40">
        <v>1995.99137</v>
      </c>
      <c r="AE40">
        <v>1912</v>
      </c>
      <c r="AG40">
        <v>0</v>
      </c>
      <c r="AH40">
        <v>39</v>
      </c>
    </row>
    <row r="41" spans="1:34" x14ac:dyDescent="0.25">
      <c r="A41" t="s">
        <v>768</v>
      </c>
      <c r="B41" t="s">
        <v>809</v>
      </c>
      <c r="D41" t="s">
        <v>770</v>
      </c>
      <c r="E41">
        <v>40</v>
      </c>
      <c r="H41">
        <v>10003</v>
      </c>
      <c r="I41">
        <v>1</v>
      </c>
      <c r="J41" t="s">
        <v>771</v>
      </c>
      <c r="K41">
        <v>75000</v>
      </c>
      <c r="L41" t="s">
        <v>34</v>
      </c>
      <c r="M41">
        <v>56</v>
      </c>
      <c r="N41">
        <v>1003</v>
      </c>
      <c r="O41">
        <v>10</v>
      </c>
      <c r="P41">
        <v>3</v>
      </c>
      <c r="Q41">
        <v>52</v>
      </c>
      <c r="R41">
        <v>20.399999999999999</v>
      </c>
      <c r="S41">
        <v>358</v>
      </c>
      <c r="T41">
        <v>457</v>
      </c>
      <c r="U41" s="1">
        <v>45490</v>
      </c>
      <c r="V41" s="1">
        <v>45525</v>
      </c>
      <c r="W41">
        <v>99365</v>
      </c>
      <c r="X41">
        <v>0.65370850400000002</v>
      </c>
      <c r="Y41">
        <v>699.08835099999999</v>
      </c>
      <c r="Z41">
        <f t="shared" si="3"/>
        <v>0.85185425200000009</v>
      </c>
      <c r="AA41">
        <f t="shared" si="4"/>
        <v>536.47674931133633</v>
      </c>
      <c r="AB41" cm="1">
        <f t="array" ref="AB41">_xlfn.IFS(X41&lt;0.6,T41,0.9&lt;X41,T41,X41,AA41)</f>
        <v>536.47674931133633</v>
      </c>
      <c r="AC41">
        <v>0.87879797599999998</v>
      </c>
      <c r="AD41">
        <v>628.92402890000005</v>
      </c>
      <c r="AE41">
        <v>628.92402890000005</v>
      </c>
      <c r="AG41">
        <v>0</v>
      </c>
      <c r="AH41">
        <v>40</v>
      </c>
    </row>
    <row r="42" spans="1:34" x14ac:dyDescent="0.25">
      <c r="A42" t="s">
        <v>768</v>
      </c>
      <c r="B42" t="s">
        <v>810</v>
      </c>
      <c r="D42" t="s">
        <v>770</v>
      </c>
      <c r="E42">
        <v>41</v>
      </c>
      <c r="H42">
        <v>11003</v>
      </c>
      <c r="I42">
        <v>1</v>
      </c>
      <c r="J42" t="s">
        <v>771</v>
      </c>
      <c r="K42">
        <v>75000</v>
      </c>
      <c r="L42" t="s">
        <v>46</v>
      </c>
      <c r="M42">
        <v>50</v>
      </c>
      <c r="N42">
        <v>1103</v>
      </c>
      <c r="O42">
        <v>11</v>
      </c>
      <c r="P42">
        <v>3</v>
      </c>
      <c r="Q42">
        <v>25</v>
      </c>
      <c r="R42">
        <v>20.3</v>
      </c>
      <c r="S42">
        <v>1476</v>
      </c>
      <c r="T42">
        <v>1888</v>
      </c>
      <c r="U42" s="1">
        <v>45495</v>
      </c>
      <c r="V42" s="1">
        <v>45532</v>
      </c>
      <c r="W42">
        <v>111814</v>
      </c>
      <c r="X42">
        <v>0.73562810000000001</v>
      </c>
      <c r="Y42">
        <v>2566.5142470000001</v>
      </c>
      <c r="Z42">
        <f t="shared" si="3"/>
        <v>0.89281405000000003</v>
      </c>
      <c r="AA42">
        <f t="shared" si="4"/>
        <v>2114.6620620497629</v>
      </c>
      <c r="AB42" cm="1">
        <f t="array" ref="AB42">_xlfn.IFS(X42&lt;0.6,T42,0.9&lt;X42,T42,X42,AA42)</f>
        <v>2114.6620620497629</v>
      </c>
      <c r="AC42">
        <v>0.907469835</v>
      </c>
      <c r="AD42">
        <v>2397.4144310000001</v>
      </c>
      <c r="AE42">
        <v>2397.4144310000001</v>
      </c>
      <c r="AG42">
        <v>0</v>
      </c>
      <c r="AH42">
        <v>41</v>
      </c>
    </row>
    <row r="43" spans="1:34" x14ac:dyDescent="0.25">
      <c r="A43" t="s">
        <v>768</v>
      </c>
      <c r="B43" t="s">
        <v>811</v>
      </c>
      <c r="D43" t="s">
        <v>770</v>
      </c>
      <c r="E43">
        <v>42</v>
      </c>
      <c r="H43">
        <v>12003</v>
      </c>
      <c r="I43">
        <v>1</v>
      </c>
      <c r="J43" t="s">
        <v>771</v>
      </c>
      <c r="K43">
        <v>75000</v>
      </c>
      <c r="L43" t="s">
        <v>74</v>
      </c>
      <c r="M43">
        <v>46</v>
      </c>
      <c r="N43">
        <v>1203</v>
      </c>
      <c r="O43">
        <v>12</v>
      </c>
      <c r="P43">
        <v>3</v>
      </c>
      <c r="Q43">
        <v>51</v>
      </c>
      <c r="R43">
        <v>19.5</v>
      </c>
      <c r="S43">
        <v>1576</v>
      </c>
      <c r="T43">
        <v>2036</v>
      </c>
      <c r="U43" s="1">
        <v>45493</v>
      </c>
      <c r="V43" s="1">
        <v>45537</v>
      </c>
      <c r="W43">
        <v>141696</v>
      </c>
      <c r="X43">
        <v>0.93221052599999998</v>
      </c>
      <c r="Y43">
        <v>2184.0560070000001</v>
      </c>
      <c r="Z43">
        <f t="shared" si="3"/>
        <v>0.99110526300000001</v>
      </c>
      <c r="AA43">
        <f t="shared" si="4"/>
        <v>2054.2722110436416</v>
      </c>
      <c r="AB43" cm="1">
        <f t="array" ref="AB43">_xlfn.IFS(X43&lt;0.6,T43,0.9&lt;X43,T43,X43,AA43)</f>
        <v>2036</v>
      </c>
      <c r="AC43">
        <v>0.97627368400000003</v>
      </c>
      <c r="AD43">
        <v>2158.647567</v>
      </c>
      <c r="AE43">
        <v>2036</v>
      </c>
      <c r="AG43">
        <v>0</v>
      </c>
      <c r="AH43">
        <v>42</v>
      </c>
    </row>
    <row r="44" spans="1:34" x14ac:dyDescent="0.25">
      <c r="A44" t="s">
        <v>768</v>
      </c>
      <c r="B44" t="s">
        <v>812</v>
      </c>
      <c r="D44" t="s">
        <v>770</v>
      </c>
      <c r="E44">
        <v>43</v>
      </c>
      <c r="H44">
        <v>13003</v>
      </c>
      <c r="I44">
        <v>1</v>
      </c>
      <c r="J44" t="s">
        <v>771</v>
      </c>
      <c r="K44">
        <v>75000</v>
      </c>
      <c r="L44" t="s">
        <v>38</v>
      </c>
      <c r="M44">
        <v>48</v>
      </c>
      <c r="N44">
        <v>1303</v>
      </c>
      <c r="O44">
        <v>13</v>
      </c>
      <c r="P44">
        <v>3</v>
      </c>
      <c r="Q44">
        <v>39</v>
      </c>
      <c r="R44">
        <v>20.5</v>
      </c>
      <c r="S44">
        <v>2047</v>
      </c>
      <c r="T44">
        <v>2611</v>
      </c>
      <c r="U44" s="1">
        <v>45498</v>
      </c>
      <c r="V44" s="1">
        <v>45534</v>
      </c>
      <c r="W44">
        <v>132852</v>
      </c>
      <c r="X44">
        <v>0.874020566</v>
      </c>
      <c r="Y44">
        <v>2987.3438940000001</v>
      </c>
      <c r="Z44">
        <f t="shared" si="3"/>
        <v>0.96201028300000002</v>
      </c>
      <c r="AA44">
        <f t="shared" si="4"/>
        <v>2714.1082025211572</v>
      </c>
      <c r="AB44" cm="1">
        <f t="array" ref="AB44">_xlfn.IFS(X44&lt;0.6,T44,0.9&lt;X44,T44,X44,AA44)</f>
        <v>2714.1082025211572</v>
      </c>
      <c r="AC44">
        <v>0.95590719800000001</v>
      </c>
      <c r="AD44">
        <v>2915.0551989999999</v>
      </c>
      <c r="AE44">
        <v>2915.0551989999999</v>
      </c>
      <c r="AG44">
        <v>0</v>
      </c>
      <c r="AH44">
        <v>43</v>
      </c>
    </row>
    <row r="45" spans="1:34" x14ac:dyDescent="0.25">
      <c r="A45" t="s">
        <v>768</v>
      </c>
      <c r="B45" t="s">
        <v>813</v>
      </c>
      <c r="D45" t="s">
        <v>770</v>
      </c>
      <c r="E45">
        <v>44</v>
      </c>
      <c r="H45">
        <v>14003</v>
      </c>
      <c r="I45">
        <v>1</v>
      </c>
      <c r="J45" t="s">
        <v>771</v>
      </c>
      <c r="K45">
        <v>75000</v>
      </c>
      <c r="L45" t="s">
        <v>70</v>
      </c>
      <c r="M45">
        <v>52</v>
      </c>
      <c r="N45">
        <v>1403</v>
      </c>
      <c r="O45">
        <v>14</v>
      </c>
      <c r="P45">
        <v>3</v>
      </c>
      <c r="Q45">
        <v>42</v>
      </c>
      <c r="R45">
        <v>18.600000000000001</v>
      </c>
      <c r="S45">
        <v>918</v>
      </c>
      <c r="T45">
        <v>1199</v>
      </c>
      <c r="U45" s="1">
        <v>45497</v>
      </c>
      <c r="V45" s="1">
        <v>45537</v>
      </c>
      <c r="W45">
        <v>132193</v>
      </c>
      <c r="X45">
        <v>0.86968506800000001</v>
      </c>
      <c r="Y45">
        <v>1378.6599819999999</v>
      </c>
      <c r="Z45">
        <f t="shared" si="3"/>
        <v>0.95984253400000008</v>
      </c>
      <c r="AA45">
        <f t="shared" si="4"/>
        <v>1249.1632299345467</v>
      </c>
      <c r="AB45" cm="1">
        <f t="array" ref="AB45">_xlfn.IFS(X45&lt;0.6,T45,0.9&lt;X45,T45,X45,AA45)</f>
        <v>1249.1632299345467</v>
      </c>
      <c r="AC45">
        <v>0.95438977400000002</v>
      </c>
      <c r="AD45">
        <v>1343.86283</v>
      </c>
      <c r="AE45">
        <v>1343.86283</v>
      </c>
      <c r="AG45">
        <v>0</v>
      </c>
      <c r="AH45">
        <v>44</v>
      </c>
    </row>
    <row r="46" spans="1:34" x14ac:dyDescent="0.25">
      <c r="A46" t="s">
        <v>768</v>
      </c>
      <c r="B46" t="s">
        <v>814</v>
      </c>
      <c r="D46" t="s">
        <v>770</v>
      </c>
      <c r="E46">
        <v>45</v>
      </c>
      <c r="H46">
        <v>15003</v>
      </c>
      <c r="I46">
        <v>1</v>
      </c>
      <c r="J46" t="s">
        <v>771</v>
      </c>
      <c r="K46">
        <v>75000</v>
      </c>
      <c r="L46" t="s">
        <v>26</v>
      </c>
      <c r="M46">
        <v>53</v>
      </c>
      <c r="N46">
        <v>1503</v>
      </c>
      <c r="O46">
        <v>15</v>
      </c>
      <c r="P46">
        <v>3</v>
      </c>
      <c r="Q46">
        <v>24</v>
      </c>
      <c r="R46">
        <v>21.2</v>
      </c>
      <c r="S46">
        <v>1489</v>
      </c>
      <c r="T46">
        <v>1883</v>
      </c>
      <c r="U46" s="1">
        <v>45497</v>
      </c>
      <c r="V46" s="1">
        <v>45534</v>
      </c>
      <c r="W46">
        <v>141132</v>
      </c>
      <c r="X46">
        <v>0.92848778300000001</v>
      </c>
      <c r="Y46">
        <v>2028.028838</v>
      </c>
      <c r="Z46">
        <f t="shared" si="3"/>
        <v>0.98924389150000003</v>
      </c>
      <c r="AA46">
        <f t="shared" si="4"/>
        <v>1903.473972575953</v>
      </c>
      <c r="AB46" cm="1">
        <f t="array" ref="AB46">_xlfn.IFS(X46&lt;0.6,T46,0.9&lt;X46,T46,X46,AA46)</f>
        <v>1883</v>
      </c>
      <c r="AC46">
        <v>0.97497072399999996</v>
      </c>
      <c r="AD46">
        <v>2002.9580269999999</v>
      </c>
      <c r="AE46">
        <v>1883</v>
      </c>
      <c r="AG46">
        <v>0</v>
      </c>
      <c r="AH46">
        <v>45</v>
      </c>
    </row>
    <row r="47" spans="1:34" x14ac:dyDescent="0.25">
      <c r="A47" t="s">
        <v>768</v>
      </c>
      <c r="B47">
        <v>1601855702</v>
      </c>
      <c r="D47" t="s">
        <v>770</v>
      </c>
      <c r="E47">
        <v>46</v>
      </c>
      <c r="H47">
        <v>15004</v>
      </c>
      <c r="I47">
        <v>1</v>
      </c>
      <c r="J47" t="s">
        <v>25</v>
      </c>
      <c r="K47">
        <v>150000</v>
      </c>
      <c r="L47" t="s">
        <v>26</v>
      </c>
      <c r="M47">
        <v>38</v>
      </c>
      <c r="N47">
        <v>1504</v>
      </c>
      <c r="O47">
        <v>15</v>
      </c>
      <c r="P47">
        <v>4</v>
      </c>
      <c r="U47" s="1">
        <v>45496</v>
      </c>
      <c r="V47" s="1">
        <v>45532</v>
      </c>
      <c r="W47">
        <v>114474</v>
      </c>
      <c r="X47">
        <v>0.88640429300000001</v>
      </c>
      <c r="AG47">
        <v>0</v>
      </c>
      <c r="AH47">
        <v>46</v>
      </c>
    </row>
    <row r="48" spans="1:34" x14ac:dyDescent="0.25">
      <c r="A48" t="s">
        <v>768</v>
      </c>
      <c r="B48" t="s">
        <v>815</v>
      </c>
      <c r="D48" t="s">
        <v>770</v>
      </c>
      <c r="E48">
        <v>47</v>
      </c>
      <c r="H48">
        <v>14004</v>
      </c>
      <c r="I48">
        <v>1</v>
      </c>
      <c r="J48" t="s">
        <v>25</v>
      </c>
      <c r="K48">
        <v>150000</v>
      </c>
      <c r="L48" t="s">
        <v>30</v>
      </c>
      <c r="M48">
        <v>45</v>
      </c>
      <c r="N48">
        <v>1404</v>
      </c>
      <c r="O48">
        <v>14</v>
      </c>
      <c r="P48">
        <v>4</v>
      </c>
      <c r="Q48">
        <v>28</v>
      </c>
      <c r="R48">
        <v>21.2</v>
      </c>
      <c r="S48">
        <v>1570</v>
      </c>
      <c r="T48">
        <v>1985</v>
      </c>
      <c r="U48" s="1">
        <v>45497</v>
      </c>
      <c r="V48" s="1">
        <v>45532</v>
      </c>
      <c r="W48">
        <v>123237</v>
      </c>
      <c r="X48">
        <v>0.95450490600000004</v>
      </c>
      <c r="Y48">
        <v>2448.2745850000001</v>
      </c>
      <c r="Z48">
        <f t="shared" ref="Z48:Z60" si="5">1-((0.95-X48)*0.5)</f>
        <v>1.0022524530000001</v>
      </c>
      <c r="AA48">
        <f t="shared" ref="AA48:AA60" si="6">T48/Z48</f>
        <v>1980.5389291474248</v>
      </c>
      <c r="AB48" cm="1">
        <f t="array" ref="AB48">_xlfn.IFS(X48&lt;0.6,T48,0.9&lt;X48,T48,X48,AA48)</f>
        <v>1985</v>
      </c>
      <c r="AC48">
        <v>0.98407671699999999</v>
      </c>
      <c r="AD48">
        <v>2227.9069239999999</v>
      </c>
      <c r="AE48">
        <v>1985</v>
      </c>
      <c r="AG48">
        <v>0</v>
      </c>
      <c r="AH48">
        <v>47</v>
      </c>
    </row>
    <row r="49" spans="1:34" x14ac:dyDescent="0.25">
      <c r="A49" t="s">
        <v>768</v>
      </c>
      <c r="B49" s="2" t="s">
        <v>816</v>
      </c>
      <c r="D49" t="s">
        <v>770</v>
      </c>
      <c r="E49">
        <v>48</v>
      </c>
      <c r="H49">
        <v>13004</v>
      </c>
      <c r="I49">
        <v>1</v>
      </c>
      <c r="J49" t="s">
        <v>25</v>
      </c>
      <c r="K49">
        <v>150000</v>
      </c>
      <c r="L49" t="s">
        <v>34</v>
      </c>
      <c r="M49">
        <v>41</v>
      </c>
      <c r="N49">
        <v>1304</v>
      </c>
      <c r="O49">
        <v>13</v>
      </c>
      <c r="P49">
        <v>4</v>
      </c>
      <c r="Q49">
        <v>54</v>
      </c>
      <c r="R49">
        <v>20.7</v>
      </c>
      <c r="S49">
        <v>645</v>
      </c>
      <c r="T49">
        <v>821</v>
      </c>
      <c r="U49" s="1">
        <v>45492</v>
      </c>
      <c r="V49" s="1">
        <v>45530</v>
      </c>
      <c r="W49">
        <v>119061</v>
      </c>
      <c r="X49">
        <v>0.87209302300000002</v>
      </c>
      <c r="Y49">
        <v>1048.13499</v>
      </c>
      <c r="Z49">
        <f t="shared" si="5"/>
        <v>0.96104651149999998</v>
      </c>
      <c r="AA49">
        <f t="shared" si="6"/>
        <v>854.27707210401752</v>
      </c>
      <c r="AB49" cm="1">
        <f t="array" ref="AB49">_xlfn.IFS(X49&lt;0.6,T49,0.9&lt;X49,T49,X49,AA49)</f>
        <v>854.27707210401752</v>
      </c>
      <c r="AC49">
        <v>0.95523255799999995</v>
      </c>
      <c r="AD49">
        <v>963.91910470000005</v>
      </c>
      <c r="AE49">
        <v>963.91910470000005</v>
      </c>
      <c r="AG49">
        <v>0</v>
      </c>
      <c r="AH49">
        <v>48</v>
      </c>
    </row>
    <row r="50" spans="1:34" x14ac:dyDescent="0.25">
      <c r="A50" t="s">
        <v>768</v>
      </c>
      <c r="B50" t="s">
        <v>817</v>
      </c>
      <c r="D50" t="s">
        <v>770</v>
      </c>
      <c r="E50">
        <v>49</v>
      </c>
      <c r="H50">
        <v>12004</v>
      </c>
      <c r="I50">
        <v>1</v>
      </c>
      <c r="J50" t="s">
        <v>25</v>
      </c>
      <c r="K50">
        <v>150000</v>
      </c>
      <c r="L50" t="s">
        <v>38</v>
      </c>
      <c r="M50">
        <v>33</v>
      </c>
      <c r="N50">
        <v>1204</v>
      </c>
      <c r="O50">
        <v>12</v>
      </c>
      <c r="P50">
        <v>4</v>
      </c>
      <c r="Q50">
        <v>39</v>
      </c>
      <c r="R50">
        <v>19.899999999999999</v>
      </c>
      <c r="S50">
        <v>1476</v>
      </c>
      <c r="T50">
        <v>1897</v>
      </c>
      <c r="U50" s="1">
        <v>45497</v>
      </c>
      <c r="V50" s="1">
        <v>45534</v>
      </c>
      <c r="W50">
        <v>89482</v>
      </c>
      <c r="X50">
        <v>0.66398570199999996</v>
      </c>
      <c r="Y50">
        <v>3222.389944</v>
      </c>
      <c r="Z50">
        <f t="shared" si="5"/>
        <v>0.856992851</v>
      </c>
      <c r="AA50">
        <f t="shared" si="6"/>
        <v>2213.5540544900064</v>
      </c>
      <c r="AB50" cm="1">
        <f t="array" ref="AB50">_xlfn.IFS(X50&lt;0.6,T50,0.9&lt;X50,T50,X50,AA50)</f>
        <v>2213.5540544900064</v>
      </c>
      <c r="AC50">
        <v>0.88239499600000004</v>
      </c>
      <c r="AD50">
        <v>2706.4136349999999</v>
      </c>
      <c r="AE50">
        <v>2706.4136349999999</v>
      </c>
      <c r="AG50">
        <v>0</v>
      </c>
      <c r="AH50">
        <v>49</v>
      </c>
    </row>
    <row r="51" spans="1:34" x14ac:dyDescent="0.25">
      <c r="A51" t="s">
        <v>768</v>
      </c>
      <c r="B51" t="s">
        <v>818</v>
      </c>
      <c r="D51" t="s">
        <v>770</v>
      </c>
      <c r="E51">
        <v>50</v>
      </c>
      <c r="H51">
        <v>11004</v>
      </c>
      <c r="I51">
        <v>1</v>
      </c>
      <c r="J51" t="s">
        <v>25</v>
      </c>
      <c r="K51">
        <v>150000</v>
      </c>
      <c r="L51" t="s">
        <v>42</v>
      </c>
      <c r="M51">
        <v>44</v>
      </c>
      <c r="N51">
        <v>1104</v>
      </c>
      <c r="O51">
        <v>11</v>
      </c>
      <c r="P51">
        <v>4</v>
      </c>
      <c r="Q51">
        <v>42</v>
      </c>
      <c r="R51">
        <v>20.100000000000001</v>
      </c>
      <c r="S51">
        <v>1532</v>
      </c>
      <c r="T51">
        <v>1964</v>
      </c>
      <c r="U51" s="1">
        <v>45493</v>
      </c>
      <c r="V51" s="1">
        <v>45528</v>
      </c>
      <c r="W51">
        <v>124995</v>
      </c>
      <c r="X51">
        <v>0.95008912700000003</v>
      </c>
      <c r="Y51">
        <v>2388.350958</v>
      </c>
      <c r="Z51">
        <f t="shared" si="5"/>
        <v>1.0000445634999999</v>
      </c>
      <c r="AA51">
        <f t="shared" si="6"/>
        <v>1963.9124811861448</v>
      </c>
      <c r="AB51" cm="1">
        <f t="array" ref="AB51">_xlfn.IFS(X51&lt;0.6,T51,0.9&lt;X51,T51,X51,AA51)</f>
        <v>1964</v>
      </c>
      <c r="AC51">
        <v>0.982531194</v>
      </c>
      <c r="AD51">
        <v>2193.8118009999998</v>
      </c>
      <c r="AE51">
        <v>1964</v>
      </c>
      <c r="AG51">
        <v>0</v>
      </c>
      <c r="AH51">
        <v>50</v>
      </c>
    </row>
    <row r="52" spans="1:34" x14ac:dyDescent="0.25">
      <c r="A52" t="s">
        <v>768</v>
      </c>
      <c r="B52" t="s">
        <v>819</v>
      </c>
      <c r="D52" t="s">
        <v>770</v>
      </c>
      <c r="E52">
        <v>51</v>
      </c>
      <c r="H52">
        <v>10004</v>
      </c>
      <c r="I52">
        <v>1</v>
      </c>
      <c r="J52" t="s">
        <v>25</v>
      </c>
      <c r="K52">
        <v>150000</v>
      </c>
      <c r="L52" t="s">
        <v>46</v>
      </c>
      <c r="M52">
        <v>35</v>
      </c>
      <c r="N52">
        <v>1004</v>
      </c>
      <c r="O52">
        <v>10</v>
      </c>
      <c r="P52">
        <v>4</v>
      </c>
      <c r="Q52">
        <v>45</v>
      </c>
      <c r="R52">
        <v>20</v>
      </c>
      <c r="S52">
        <v>1319</v>
      </c>
      <c r="T52">
        <v>1693</v>
      </c>
      <c r="U52" s="1">
        <v>45496</v>
      </c>
      <c r="V52" s="1">
        <v>45532</v>
      </c>
      <c r="W52">
        <v>86857</v>
      </c>
      <c r="X52">
        <v>0.64311270099999995</v>
      </c>
      <c r="Y52">
        <v>2962.7158890000001</v>
      </c>
      <c r="Z52">
        <f t="shared" si="5"/>
        <v>0.8465563505</v>
      </c>
      <c r="AA52">
        <f t="shared" si="6"/>
        <v>1999.8668712367069</v>
      </c>
      <c r="AB52" cm="1">
        <f t="array" ref="AB52">_xlfn.IFS(X52&lt;0.6,T52,0.9&lt;X52,T52,X52,AA52)</f>
        <v>1999.8668712367069</v>
      </c>
      <c r="AC52">
        <v>0.87508944499999997</v>
      </c>
      <c r="AD52">
        <v>2462.2834429999998</v>
      </c>
      <c r="AE52">
        <v>2462.2834429999998</v>
      </c>
      <c r="AG52">
        <v>0</v>
      </c>
      <c r="AH52">
        <v>51</v>
      </c>
    </row>
    <row r="53" spans="1:34" x14ac:dyDescent="0.25">
      <c r="A53" t="s">
        <v>768</v>
      </c>
      <c r="B53" t="s">
        <v>820</v>
      </c>
      <c r="D53" t="s">
        <v>770</v>
      </c>
      <c r="E53">
        <v>52</v>
      </c>
      <c r="H53">
        <v>9004</v>
      </c>
      <c r="I53">
        <v>1</v>
      </c>
      <c r="J53" t="s">
        <v>25</v>
      </c>
      <c r="K53">
        <v>150000</v>
      </c>
      <c r="L53" t="s">
        <v>50</v>
      </c>
      <c r="M53">
        <v>34</v>
      </c>
      <c r="N53">
        <v>904</v>
      </c>
      <c r="O53">
        <v>9</v>
      </c>
      <c r="P53">
        <v>4</v>
      </c>
      <c r="Q53">
        <v>61</v>
      </c>
      <c r="R53">
        <v>20.399999999999999</v>
      </c>
      <c r="S53">
        <v>657</v>
      </c>
      <c r="T53">
        <v>839</v>
      </c>
      <c r="U53" s="1">
        <v>45496</v>
      </c>
      <c r="W53">
        <v>122748</v>
      </c>
      <c r="X53">
        <v>0.95102404299999999</v>
      </c>
      <c r="Y53">
        <v>1038.948406</v>
      </c>
      <c r="Z53">
        <f t="shared" si="5"/>
        <v>1.0005120215000001</v>
      </c>
      <c r="AA53">
        <f t="shared" si="6"/>
        <v>838.57063380622253</v>
      </c>
      <c r="AB53" cm="1">
        <f t="array" ref="AB53">_xlfn.IFS(X53&lt;0.6,T53,0.9&lt;X53,T53,X53,AA53)</f>
        <v>839</v>
      </c>
      <c r="AC53">
        <v>0.98285841500000004</v>
      </c>
      <c r="AD53">
        <v>944.52035309999997</v>
      </c>
      <c r="AE53">
        <v>839</v>
      </c>
      <c r="AG53">
        <v>0</v>
      </c>
      <c r="AH53">
        <v>52</v>
      </c>
    </row>
    <row r="54" spans="1:34" x14ac:dyDescent="0.25">
      <c r="A54" t="s">
        <v>768</v>
      </c>
      <c r="B54" t="s">
        <v>821</v>
      </c>
      <c r="D54" t="s">
        <v>770</v>
      </c>
      <c r="E54">
        <v>53</v>
      </c>
      <c r="H54">
        <v>8004</v>
      </c>
      <c r="I54">
        <v>1</v>
      </c>
      <c r="J54" t="s">
        <v>25</v>
      </c>
      <c r="K54">
        <v>150000</v>
      </c>
      <c r="L54" t="s">
        <v>54</v>
      </c>
      <c r="M54">
        <v>40</v>
      </c>
      <c r="N54">
        <v>804</v>
      </c>
      <c r="O54">
        <v>8</v>
      </c>
      <c r="P54">
        <v>4</v>
      </c>
      <c r="Q54">
        <v>57</v>
      </c>
      <c r="R54">
        <v>18.899999999999999</v>
      </c>
      <c r="S54">
        <v>764</v>
      </c>
      <c r="T54">
        <v>994</v>
      </c>
      <c r="U54" s="1">
        <v>45490</v>
      </c>
      <c r="V54" s="1">
        <v>45526</v>
      </c>
      <c r="W54">
        <v>129000</v>
      </c>
      <c r="X54">
        <v>0.98928571399999998</v>
      </c>
      <c r="Y54">
        <v>1171.232512</v>
      </c>
      <c r="Z54">
        <f t="shared" si="5"/>
        <v>1.019642857</v>
      </c>
      <c r="AA54">
        <f t="shared" si="6"/>
        <v>974.8511384903469</v>
      </c>
      <c r="AB54" cm="1">
        <f t="array" ref="AB54">_xlfn.IFS(X54&lt;0.6,T54,0.9&lt;X54,T54,X54,AA54)</f>
        <v>994</v>
      </c>
      <c r="AC54">
        <v>0.99624999999999997</v>
      </c>
      <c r="AD54">
        <v>1079.4104669999999</v>
      </c>
      <c r="AE54">
        <v>994</v>
      </c>
      <c r="AG54">
        <v>0</v>
      </c>
      <c r="AH54">
        <v>53</v>
      </c>
    </row>
    <row r="55" spans="1:34" x14ac:dyDescent="0.25">
      <c r="A55" t="s">
        <v>768</v>
      </c>
      <c r="B55" t="s">
        <v>822</v>
      </c>
      <c r="D55" t="s">
        <v>770</v>
      </c>
      <c r="E55">
        <v>54</v>
      </c>
      <c r="H55">
        <v>7004</v>
      </c>
      <c r="I55">
        <v>1</v>
      </c>
      <c r="J55" t="s">
        <v>25</v>
      </c>
      <c r="K55">
        <v>150000</v>
      </c>
      <c r="L55" t="s">
        <v>58</v>
      </c>
      <c r="M55">
        <v>39</v>
      </c>
      <c r="N55">
        <v>704</v>
      </c>
      <c r="O55">
        <v>7</v>
      </c>
      <c r="P55">
        <v>4</v>
      </c>
      <c r="Q55">
        <v>64</v>
      </c>
      <c r="R55">
        <v>20.7</v>
      </c>
      <c r="S55">
        <v>550</v>
      </c>
      <c r="T55">
        <v>700</v>
      </c>
      <c r="U55" s="1">
        <v>45491</v>
      </c>
      <c r="V55" s="1">
        <v>45524</v>
      </c>
      <c r="W55">
        <v>121350</v>
      </c>
      <c r="X55">
        <v>0.83363148499999995</v>
      </c>
      <c r="Y55">
        <v>876.80840539999997</v>
      </c>
      <c r="Z55">
        <f t="shared" si="5"/>
        <v>0.9418157425</v>
      </c>
      <c r="AA55">
        <f t="shared" si="6"/>
        <v>743.2451682554032</v>
      </c>
      <c r="AB55" cm="1">
        <f t="array" ref="AB55">_xlfn.IFS(X55&lt;0.6,T55,0.9&lt;X55,T55,X55,AA55)</f>
        <v>743.2451682554032</v>
      </c>
      <c r="AC55">
        <v>0.94177102000000001</v>
      </c>
      <c r="AD55">
        <v>826.62491599999998</v>
      </c>
      <c r="AE55">
        <v>826.62491599999998</v>
      </c>
      <c r="AG55">
        <v>0</v>
      </c>
      <c r="AH55">
        <v>54</v>
      </c>
    </row>
    <row r="56" spans="1:34" x14ac:dyDescent="0.25">
      <c r="A56" t="s">
        <v>768</v>
      </c>
      <c r="B56" t="s">
        <v>823</v>
      </c>
      <c r="D56" t="s">
        <v>770</v>
      </c>
      <c r="E56">
        <v>55</v>
      </c>
      <c r="H56">
        <v>6004</v>
      </c>
      <c r="I56">
        <v>1</v>
      </c>
      <c r="J56" t="s">
        <v>25</v>
      </c>
      <c r="K56">
        <v>150000</v>
      </c>
      <c r="L56" t="s">
        <v>62</v>
      </c>
      <c r="M56">
        <v>43</v>
      </c>
      <c r="N56">
        <v>604</v>
      </c>
      <c r="O56">
        <v>6</v>
      </c>
      <c r="P56">
        <v>4</v>
      </c>
      <c r="Q56">
        <v>25</v>
      </c>
      <c r="R56">
        <v>18.3</v>
      </c>
      <c r="S56">
        <v>1828</v>
      </c>
      <c r="T56">
        <v>2396</v>
      </c>
      <c r="U56" s="1">
        <v>45495</v>
      </c>
      <c r="V56" s="1">
        <v>45534</v>
      </c>
      <c r="W56">
        <v>120972</v>
      </c>
      <c r="X56">
        <v>0.87745974999999998</v>
      </c>
      <c r="Y56">
        <v>3010.5677019999998</v>
      </c>
      <c r="Z56">
        <f t="shared" si="5"/>
        <v>0.96372987500000007</v>
      </c>
      <c r="AA56">
        <f t="shared" si="6"/>
        <v>2486.1738357960521</v>
      </c>
      <c r="AB56" cm="1">
        <f t="array" ref="AB56">_xlfn.IFS(X56&lt;0.6,T56,0.9&lt;X56,T56,X56,AA56)</f>
        <v>2486.1738357960521</v>
      </c>
      <c r="AC56">
        <v>0.95711091299999995</v>
      </c>
      <c r="AD56">
        <v>2787.9263329999999</v>
      </c>
      <c r="AE56">
        <v>2787.9263329999999</v>
      </c>
      <c r="AG56">
        <v>0</v>
      </c>
      <c r="AH56">
        <v>55</v>
      </c>
    </row>
    <row r="57" spans="1:34" x14ac:dyDescent="0.25">
      <c r="A57" t="s">
        <v>768</v>
      </c>
      <c r="B57" t="s">
        <v>824</v>
      </c>
      <c r="D57" t="s">
        <v>770</v>
      </c>
      <c r="E57">
        <v>56</v>
      </c>
      <c r="H57">
        <v>5004</v>
      </c>
      <c r="I57">
        <v>1</v>
      </c>
      <c r="J57" t="s">
        <v>25</v>
      </c>
      <c r="K57">
        <v>150000</v>
      </c>
      <c r="L57" t="s">
        <v>66</v>
      </c>
      <c r="M57">
        <v>42</v>
      </c>
      <c r="N57">
        <v>504</v>
      </c>
      <c r="O57">
        <v>5</v>
      </c>
      <c r="P57">
        <v>4</v>
      </c>
      <c r="Q57">
        <v>70</v>
      </c>
      <c r="R57">
        <v>19.600000000000001</v>
      </c>
      <c r="S57">
        <v>766</v>
      </c>
      <c r="T57">
        <v>988</v>
      </c>
      <c r="U57" s="1">
        <v>45494</v>
      </c>
      <c r="V57" s="1">
        <v>45537</v>
      </c>
      <c r="W57">
        <v>125912</v>
      </c>
      <c r="X57">
        <v>0.88918677400000001</v>
      </c>
      <c r="Y57">
        <v>1192.7138640000001</v>
      </c>
      <c r="Z57">
        <f t="shared" si="5"/>
        <v>0.96959338699999997</v>
      </c>
      <c r="AA57">
        <f t="shared" si="6"/>
        <v>1018.9838475043148</v>
      </c>
      <c r="AB57" cm="1">
        <f t="array" ref="AB57">_xlfn.IFS(X57&lt;0.6,T57,0.9&lt;X57,T57,X57,AA57)</f>
        <v>1018.9838475043148</v>
      </c>
      <c r="AC57">
        <v>0.96121537099999999</v>
      </c>
      <c r="AD57">
        <v>1124.3559339999999</v>
      </c>
      <c r="AE57">
        <v>1124.3559339999999</v>
      </c>
      <c r="AG57">
        <v>0</v>
      </c>
      <c r="AH57">
        <v>56</v>
      </c>
    </row>
    <row r="58" spans="1:34" x14ac:dyDescent="0.25">
      <c r="A58" t="s">
        <v>768</v>
      </c>
      <c r="B58" t="s">
        <v>825</v>
      </c>
      <c r="D58" t="s">
        <v>770</v>
      </c>
      <c r="E58">
        <v>57</v>
      </c>
      <c r="H58">
        <v>4004</v>
      </c>
      <c r="I58">
        <v>1</v>
      </c>
      <c r="J58" t="s">
        <v>25</v>
      </c>
      <c r="K58">
        <v>150000</v>
      </c>
      <c r="L58" t="s">
        <v>70</v>
      </c>
      <c r="M58">
        <v>37</v>
      </c>
      <c r="N58">
        <v>404</v>
      </c>
      <c r="O58">
        <v>4</v>
      </c>
      <c r="P58">
        <v>4</v>
      </c>
      <c r="Q58">
        <v>40</v>
      </c>
      <c r="R58">
        <v>19.899999999999999</v>
      </c>
      <c r="S58">
        <v>1582</v>
      </c>
      <c r="T58">
        <v>2033</v>
      </c>
      <c r="U58" s="1">
        <v>45495</v>
      </c>
      <c r="V58" s="1">
        <v>45534</v>
      </c>
      <c r="W58">
        <v>115707</v>
      </c>
      <c r="X58">
        <v>0.81550802099999997</v>
      </c>
      <c r="Y58">
        <v>2670.6592249999999</v>
      </c>
      <c r="Z58">
        <f t="shared" si="5"/>
        <v>0.93275401050000006</v>
      </c>
      <c r="AA58">
        <f t="shared" si="6"/>
        <v>2179.5671496606233</v>
      </c>
      <c r="AB58" cm="1">
        <f t="array" ref="AB58">_xlfn.IFS(X58&lt;0.6,T58,0.9&lt;X58,T58,X58,AA58)</f>
        <v>2179.5671496606233</v>
      </c>
      <c r="AC58">
        <v>0.93542780699999994</v>
      </c>
      <c r="AD58">
        <v>2467.9691349999998</v>
      </c>
      <c r="AE58">
        <v>2467.9691349999998</v>
      </c>
      <c r="AG58">
        <v>0</v>
      </c>
      <c r="AH58">
        <v>57</v>
      </c>
    </row>
    <row r="59" spans="1:34" x14ac:dyDescent="0.25">
      <c r="A59" t="s">
        <v>768</v>
      </c>
      <c r="B59" t="s">
        <v>826</v>
      </c>
      <c r="D59" t="s">
        <v>770</v>
      </c>
      <c r="E59">
        <v>58</v>
      </c>
      <c r="H59">
        <v>3004</v>
      </c>
      <c r="I59">
        <v>1</v>
      </c>
      <c r="J59" t="s">
        <v>25</v>
      </c>
      <c r="K59">
        <v>150000</v>
      </c>
      <c r="L59" t="s">
        <v>74</v>
      </c>
      <c r="M59">
        <v>31</v>
      </c>
      <c r="N59">
        <v>304</v>
      </c>
      <c r="O59">
        <v>3</v>
      </c>
      <c r="P59">
        <v>4</v>
      </c>
      <c r="Q59">
        <v>28</v>
      </c>
      <c r="R59">
        <v>20.5</v>
      </c>
      <c r="S59">
        <v>1623</v>
      </c>
      <c r="T59">
        <v>2070</v>
      </c>
      <c r="U59" s="1">
        <v>45495</v>
      </c>
      <c r="V59" s="1">
        <v>45536</v>
      </c>
      <c r="W59">
        <v>124963</v>
      </c>
      <c r="X59">
        <v>0.91978609600000005</v>
      </c>
      <c r="Y59">
        <v>2517.8818529999999</v>
      </c>
      <c r="Z59">
        <f t="shared" si="5"/>
        <v>0.98489304799999999</v>
      </c>
      <c r="AA59">
        <f t="shared" si="6"/>
        <v>2101.7510522624789</v>
      </c>
      <c r="AB59" cm="1">
        <f t="array" ref="AB59">_xlfn.IFS(X59&lt;0.6,T59,0.9&lt;X59,T59,X59,AA59)</f>
        <v>2070</v>
      </c>
      <c r="AC59">
        <v>0.97192513400000002</v>
      </c>
      <c r="AD59">
        <v>2337.710086</v>
      </c>
      <c r="AE59">
        <v>2070</v>
      </c>
      <c r="AG59">
        <v>0</v>
      </c>
      <c r="AH59">
        <v>58</v>
      </c>
    </row>
    <row r="60" spans="1:34" x14ac:dyDescent="0.25">
      <c r="A60" t="s">
        <v>768</v>
      </c>
      <c r="B60" t="s">
        <v>827</v>
      </c>
      <c r="D60" t="s">
        <v>770</v>
      </c>
      <c r="E60">
        <v>59</v>
      </c>
      <c r="H60">
        <v>2004</v>
      </c>
      <c r="I60">
        <v>1</v>
      </c>
      <c r="J60" t="s">
        <v>25</v>
      </c>
      <c r="K60">
        <v>150000</v>
      </c>
      <c r="L60" t="s">
        <v>78</v>
      </c>
      <c r="M60">
        <v>36</v>
      </c>
      <c r="N60">
        <v>204</v>
      </c>
      <c r="O60">
        <v>2</v>
      </c>
      <c r="P60">
        <v>4</v>
      </c>
      <c r="Q60">
        <v>47</v>
      </c>
      <c r="R60">
        <v>19.3</v>
      </c>
      <c r="S60">
        <v>190</v>
      </c>
      <c r="T60">
        <v>246</v>
      </c>
      <c r="U60" s="1">
        <v>45490</v>
      </c>
      <c r="V60" s="1">
        <v>45526</v>
      </c>
      <c r="W60">
        <v>86819</v>
      </c>
      <c r="X60">
        <v>0.55921638500000004</v>
      </c>
      <c r="Y60">
        <v>430.6891349</v>
      </c>
      <c r="Z60">
        <f t="shared" si="5"/>
        <v>0.80460819250000004</v>
      </c>
      <c r="AA60">
        <f t="shared" si="6"/>
        <v>305.73887053728947</v>
      </c>
      <c r="AB60" cm="1">
        <f t="array" ref="AB60">_xlfn.IFS(X60&lt;0.6,T60,0.9&lt;X60,T60,X60,AA60)</f>
        <v>246</v>
      </c>
      <c r="AC60">
        <v>0.84572573500000003</v>
      </c>
      <c r="AD60">
        <v>370.2629604</v>
      </c>
      <c r="AE60">
        <v>246</v>
      </c>
      <c r="AG60">
        <v>0</v>
      </c>
      <c r="AH60">
        <v>59</v>
      </c>
    </row>
    <row r="61" spans="1:34" x14ac:dyDescent="0.25">
      <c r="A61" t="s">
        <v>768</v>
      </c>
      <c r="B61" t="s">
        <v>828</v>
      </c>
      <c r="D61" t="s">
        <v>770</v>
      </c>
      <c r="E61">
        <v>60</v>
      </c>
      <c r="H61">
        <v>1004</v>
      </c>
      <c r="I61">
        <v>1</v>
      </c>
      <c r="J61" t="s">
        <v>25</v>
      </c>
      <c r="K61">
        <v>150000</v>
      </c>
      <c r="L61" t="s">
        <v>80</v>
      </c>
      <c r="M61">
        <v>32</v>
      </c>
      <c r="N61">
        <v>104</v>
      </c>
      <c r="O61">
        <v>1</v>
      </c>
      <c r="P61">
        <v>4</v>
      </c>
      <c r="R61">
        <v>1</v>
      </c>
      <c r="U61" s="1">
        <v>45494</v>
      </c>
      <c r="AG61">
        <v>0</v>
      </c>
      <c r="AH61">
        <v>60</v>
      </c>
    </row>
    <row r="62" spans="1:34" x14ac:dyDescent="0.25">
      <c r="A62" t="s">
        <v>768</v>
      </c>
      <c r="B62" t="s">
        <v>829</v>
      </c>
      <c r="D62" t="s">
        <v>770</v>
      </c>
      <c r="E62">
        <v>61</v>
      </c>
      <c r="H62">
        <v>1005</v>
      </c>
      <c r="I62">
        <v>1</v>
      </c>
      <c r="J62" t="s">
        <v>25</v>
      </c>
      <c r="K62">
        <v>75000</v>
      </c>
      <c r="L62" t="s">
        <v>26</v>
      </c>
      <c r="M62">
        <v>8</v>
      </c>
      <c r="N62">
        <v>105</v>
      </c>
      <c r="O62">
        <v>1</v>
      </c>
      <c r="P62">
        <v>5</v>
      </c>
      <c r="Q62">
        <v>29</v>
      </c>
      <c r="R62">
        <v>17.2</v>
      </c>
      <c r="S62">
        <v>482</v>
      </c>
      <c r="T62">
        <v>640</v>
      </c>
      <c r="U62" s="1">
        <v>45495</v>
      </c>
      <c r="V62" s="1">
        <v>45536</v>
      </c>
      <c r="W62">
        <v>112896</v>
      </c>
      <c r="X62">
        <v>0.81769437</v>
      </c>
      <c r="Y62">
        <v>861.6723356</v>
      </c>
      <c r="Z62">
        <f t="shared" ref="Z62:Z107" si="7">1-((0.95-X62)*0.5)</f>
        <v>0.93384718500000008</v>
      </c>
      <c r="AA62">
        <f t="shared" ref="AA62:AA101" si="8">T62/Z62</f>
        <v>685.33696977412842</v>
      </c>
      <c r="AB62" cm="1">
        <f t="array" ref="AB62">_xlfn.IFS(X62&lt;0.6,T62,0.9&lt;X62,T62,X62,AA62)</f>
        <v>685.33696977412842</v>
      </c>
      <c r="AC62">
        <v>0.93619302999999998</v>
      </c>
      <c r="AD62">
        <v>784.5335781</v>
      </c>
      <c r="AE62">
        <v>784.5335781</v>
      </c>
      <c r="AG62">
        <v>0</v>
      </c>
      <c r="AH62">
        <v>61</v>
      </c>
    </row>
    <row r="63" spans="1:34" x14ac:dyDescent="0.25">
      <c r="A63" t="s">
        <v>768</v>
      </c>
      <c r="B63" t="s">
        <v>830</v>
      </c>
      <c r="D63" t="s">
        <v>770</v>
      </c>
      <c r="E63">
        <v>62</v>
      </c>
      <c r="H63">
        <v>2005</v>
      </c>
      <c r="I63">
        <v>1</v>
      </c>
      <c r="J63" t="s">
        <v>25</v>
      </c>
      <c r="K63">
        <v>75000</v>
      </c>
      <c r="L63" t="s">
        <v>70</v>
      </c>
      <c r="M63">
        <v>7</v>
      </c>
      <c r="N63">
        <v>205</v>
      </c>
      <c r="O63">
        <v>2</v>
      </c>
      <c r="P63">
        <v>5</v>
      </c>
      <c r="Q63">
        <v>40</v>
      </c>
      <c r="R63">
        <v>20.6</v>
      </c>
      <c r="S63">
        <v>929</v>
      </c>
      <c r="T63">
        <v>1184</v>
      </c>
      <c r="U63" s="1">
        <v>45496</v>
      </c>
      <c r="V63" s="1">
        <v>45536</v>
      </c>
      <c r="W63">
        <v>100329</v>
      </c>
      <c r="X63">
        <v>0.68722073299999997</v>
      </c>
      <c r="Y63">
        <v>1793.766668</v>
      </c>
      <c r="Z63">
        <f t="shared" si="7"/>
        <v>0.86861036650000001</v>
      </c>
      <c r="AA63">
        <f t="shared" si="8"/>
        <v>1363.0967873096413</v>
      </c>
      <c r="AB63" cm="1">
        <f t="array" ref="AB63">_xlfn.IFS(X63&lt;0.6,T63,0.9&lt;X63,T63,X63,AA63)</f>
        <v>1363.0967873096413</v>
      </c>
      <c r="AC63">
        <v>0.89052725700000002</v>
      </c>
      <c r="AD63">
        <v>1601.805449</v>
      </c>
      <c r="AE63">
        <v>1601.805449</v>
      </c>
      <c r="AG63">
        <v>0</v>
      </c>
      <c r="AH63">
        <v>62</v>
      </c>
    </row>
    <row r="64" spans="1:34" x14ac:dyDescent="0.25">
      <c r="A64" t="s">
        <v>768</v>
      </c>
      <c r="B64" t="s">
        <v>831</v>
      </c>
      <c r="D64" t="s">
        <v>770</v>
      </c>
      <c r="E64">
        <v>63</v>
      </c>
      <c r="H64">
        <v>3005</v>
      </c>
      <c r="I64">
        <v>1</v>
      </c>
      <c r="J64" t="s">
        <v>25</v>
      </c>
      <c r="K64">
        <v>75000</v>
      </c>
      <c r="L64" t="s">
        <v>74</v>
      </c>
      <c r="M64">
        <v>1</v>
      </c>
      <c r="N64">
        <v>305</v>
      </c>
      <c r="O64">
        <v>3</v>
      </c>
      <c r="P64">
        <v>5</v>
      </c>
      <c r="Q64">
        <v>28</v>
      </c>
      <c r="R64">
        <v>22.8</v>
      </c>
      <c r="S64">
        <v>1518</v>
      </c>
      <c r="T64">
        <v>1880</v>
      </c>
      <c r="U64" s="1">
        <v>45497</v>
      </c>
      <c r="W64">
        <v>123989</v>
      </c>
      <c r="X64">
        <v>0.96693476300000003</v>
      </c>
      <c r="Y64">
        <v>2304.7205800000002</v>
      </c>
      <c r="Z64">
        <f t="shared" si="7"/>
        <v>1.0084673815</v>
      </c>
      <c r="AA64">
        <f t="shared" si="8"/>
        <v>1864.21498056157</v>
      </c>
      <c r="AB64" cm="1">
        <f t="array" ref="AB64">_xlfn.IFS(X64&lt;0.6,T64,0.9&lt;X64,T64,X64,AA64)</f>
        <v>1880</v>
      </c>
      <c r="AC64">
        <v>0.988427167</v>
      </c>
      <c r="AD64">
        <v>2095.0528669999999</v>
      </c>
      <c r="AE64">
        <v>1880</v>
      </c>
      <c r="AG64">
        <v>0</v>
      </c>
      <c r="AH64">
        <v>63</v>
      </c>
    </row>
    <row r="65" spans="1:34" x14ac:dyDescent="0.25">
      <c r="A65" t="s">
        <v>768</v>
      </c>
      <c r="B65" t="s">
        <v>832</v>
      </c>
      <c r="D65" t="s">
        <v>770</v>
      </c>
      <c r="E65">
        <v>64</v>
      </c>
      <c r="H65">
        <v>4005</v>
      </c>
      <c r="I65">
        <v>1</v>
      </c>
      <c r="J65" t="s">
        <v>25</v>
      </c>
      <c r="K65">
        <v>75000</v>
      </c>
      <c r="L65" t="s">
        <v>80</v>
      </c>
      <c r="M65">
        <v>2</v>
      </c>
      <c r="N65">
        <v>405</v>
      </c>
      <c r="O65">
        <v>4</v>
      </c>
      <c r="P65">
        <v>5</v>
      </c>
      <c r="Q65">
        <v>28</v>
      </c>
      <c r="R65">
        <v>23.3</v>
      </c>
      <c r="S65">
        <v>1636</v>
      </c>
      <c r="T65">
        <v>2013</v>
      </c>
      <c r="U65" s="1">
        <v>45497</v>
      </c>
      <c r="V65" s="1">
        <v>45536</v>
      </c>
      <c r="W65">
        <v>119853</v>
      </c>
      <c r="X65">
        <v>0.90161001799999996</v>
      </c>
      <c r="Y65">
        <v>2552.9609270000001</v>
      </c>
      <c r="Z65">
        <f t="shared" si="7"/>
        <v>0.975805009</v>
      </c>
      <c r="AA65">
        <f t="shared" si="8"/>
        <v>2062.9121406774825</v>
      </c>
      <c r="AB65" cm="1">
        <f t="array" ref="AB65">_xlfn.IFS(X65&lt;0.6,T65,0.9&lt;X65,T65,X65,AA65)</f>
        <v>2013</v>
      </c>
      <c r="AC65">
        <v>0.96556350599999996</v>
      </c>
      <c r="AD65">
        <v>2331.336186</v>
      </c>
      <c r="AE65">
        <v>2013</v>
      </c>
      <c r="AG65">
        <v>0</v>
      </c>
      <c r="AH65">
        <v>64</v>
      </c>
    </row>
    <row r="66" spans="1:34" x14ac:dyDescent="0.25">
      <c r="A66" t="s">
        <v>768</v>
      </c>
      <c r="B66" t="s">
        <v>833</v>
      </c>
      <c r="D66" t="s">
        <v>770</v>
      </c>
      <c r="E66">
        <v>65</v>
      </c>
      <c r="H66">
        <v>5005</v>
      </c>
      <c r="I66">
        <v>1</v>
      </c>
      <c r="J66" t="s">
        <v>25</v>
      </c>
      <c r="K66">
        <v>75000</v>
      </c>
      <c r="L66" t="s">
        <v>78</v>
      </c>
      <c r="M66">
        <v>6</v>
      </c>
      <c r="N66">
        <v>505</v>
      </c>
      <c r="O66">
        <v>5</v>
      </c>
      <c r="P66">
        <v>5</v>
      </c>
      <c r="Q66">
        <v>72</v>
      </c>
      <c r="R66">
        <v>18.899999999999999</v>
      </c>
      <c r="S66">
        <v>740</v>
      </c>
      <c r="T66">
        <v>963</v>
      </c>
      <c r="U66" s="1">
        <v>45490</v>
      </c>
      <c r="V66" s="1">
        <v>45524</v>
      </c>
      <c r="W66">
        <v>118856</v>
      </c>
      <c r="X66">
        <v>0.87835420399999997</v>
      </c>
      <c r="Y66">
        <v>1231.5487900000001</v>
      </c>
      <c r="Z66">
        <f t="shared" si="7"/>
        <v>0.96417710200000006</v>
      </c>
      <c r="AA66">
        <f t="shared" si="8"/>
        <v>998.7791641208255</v>
      </c>
      <c r="AB66" cm="1">
        <f t="array" ref="AB66">_xlfn.IFS(X66&lt;0.6,T66,0.9&lt;X66,T66,X66,AA66)</f>
        <v>998.7791641208255</v>
      </c>
      <c r="AC66">
        <v>0.95742397099999998</v>
      </c>
      <c r="AD66">
        <v>1128.9075230000001</v>
      </c>
      <c r="AE66">
        <v>1128.9075230000001</v>
      </c>
      <c r="AG66">
        <v>0</v>
      </c>
      <c r="AH66">
        <v>65</v>
      </c>
    </row>
    <row r="67" spans="1:34" x14ac:dyDescent="0.25">
      <c r="A67" t="s">
        <v>768</v>
      </c>
      <c r="B67" t="s">
        <v>834</v>
      </c>
      <c r="D67" t="s">
        <v>770</v>
      </c>
      <c r="E67">
        <v>66</v>
      </c>
      <c r="H67">
        <v>6005</v>
      </c>
      <c r="I67">
        <v>1</v>
      </c>
      <c r="J67" t="s">
        <v>25</v>
      </c>
      <c r="K67">
        <v>75000</v>
      </c>
      <c r="L67" t="s">
        <v>30</v>
      </c>
      <c r="M67">
        <v>15</v>
      </c>
      <c r="N67">
        <v>605</v>
      </c>
      <c r="O67">
        <v>6</v>
      </c>
      <c r="P67">
        <v>5</v>
      </c>
      <c r="Q67">
        <v>28</v>
      </c>
      <c r="R67">
        <v>21.2</v>
      </c>
      <c r="S67">
        <v>1688</v>
      </c>
      <c r="T67">
        <v>2134</v>
      </c>
      <c r="U67" s="1">
        <v>45494</v>
      </c>
      <c r="V67" s="1">
        <v>45534</v>
      </c>
      <c r="W67">
        <v>113011</v>
      </c>
      <c r="X67">
        <v>0.78966131900000003</v>
      </c>
      <c r="Y67">
        <v>2870.196105</v>
      </c>
      <c r="Z67">
        <f t="shared" si="7"/>
        <v>0.91983065950000009</v>
      </c>
      <c r="AA67">
        <f t="shared" si="8"/>
        <v>2319.9922485297411</v>
      </c>
      <c r="AB67" cm="1">
        <f t="array" ref="AB67">_xlfn.IFS(X67&lt;0.6,T67,0.9&lt;X67,T67,X67,AA67)</f>
        <v>2319.9922485297411</v>
      </c>
      <c r="AC67">
        <v>0.92638146200000004</v>
      </c>
      <c r="AD67">
        <v>2642.4805860000001</v>
      </c>
      <c r="AE67">
        <v>2642.4805860000001</v>
      </c>
      <c r="AG67">
        <v>0</v>
      </c>
      <c r="AH67">
        <v>66</v>
      </c>
    </row>
    <row r="68" spans="1:34" x14ac:dyDescent="0.25">
      <c r="A68" t="s">
        <v>768</v>
      </c>
      <c r="B68" t="s">
        <v>835</v>
      </c>
      <c r="D68" t="s">
        <v>770</v>
      </c>
      <c r="E68">
        <v>67</v>
      </c>
      <c r="H68">
        <v>7005</v>
      </c>
      <c r="I68">
        <v>1</v>
      </c>
      <c r="J68" t="s">
        <v>25</v>
      </c>
      <c r="K68">
        <v>75000</v>
      </c>
      <c r="L68" t="s">
        <v>62</v>
      </c>
      <c r="M68">
        <v>13</v>
      </c>
      <c r="N68">
        <v>705</v>
      </c>
      <c r="O68">
        <v>7</v>
      </c>
      <c r="P68">
        <v>5</v>
      </c>
      <c r="Q68">
        <v>27</v>
      </c>
      <c r="R68">
        <v>21.3</v>
      </c>
      <c r="S68">
        <v>1322</v>
      </c>
      <c r="T68">
        <v>1669</v>
      </c>
      <c r="U68" s="1">
        <v>45498</v>
      </c>
      <c r="V68" s="1">
        <v>45535</v>
      </c>
      <c r="W68">
        <v>118049</v>
      </c>
      <c r="X68">
        <v>0.77094474199999996</v>
      </c>
      <c r="Y68">
        <v>2149.0341979999998</v>
      </c>
      <c r="Z68">
        <f t="shared" si="7"/>
        <v>0.910472371</v>
      </c>
      <c r="AA68">
        <f t="shared" si="8"/>
        <v>1833.1143845330371</v>
      </c>
      <c r="AB68" cm="1">
        <f t="array" ref="AB68">_xlfn.IFS(X68&lt;0.6,T68,0.9&lt;X68,T68,X68,AA68)</f>
        <v>1833.1143845330371</v>
      </c>
      <c r="AC68">
        <v>0.91983066000000002</v>
      </c>
      <c r="AD68">
        <v>2042.593584</v>
      </c>
      <c r="AE68">
        <v>2042.593584</v>
      </c>
      <c r="AG68">
        <v>0</v>
      </c>
      <c r="AH68">
        <v>67</v>
      </c>
    </row>
    <row r="69" spans="1:34" x14ac:dyDescent="0.25">
      <c r="A69" t="s">
        <v>768</v>
      </c>
      <c r="B69" t="s">
        <v>836</v>
      </c>
      <c r="D69" t="s">
        <v>770</v>
      </c>
      <c r="E69">
        <v>68</v>
      </c>
      <c r="H69">
        <v>8005</v>
      </c>
      <c r="I69">
        <v>1</v>
      </c>
      <c r="J69" t="s">
        <v>25</v>
      </c>
      <c r="K69">
        <v>75000</v>
      </c>
      <c r="L69" t="s">
        <v>38</v>
      </c>
      <c r="M69">
        <v>3</v>
      </c>
      <c r="N69">
        <v>805</v>
      </c>
      <c r="O69">
        <v>8</v>
      </c>
      <c r="P69">
        <v>5</v>
      </c>
      <c r="Q69">
        <v>41</v>
      </c>
      <c r="R69">
        <v>19.7</v>
      </c>
      <c r="S69">
        <v>1511</v>
      </c>
      <c r="T69">
        <v>1947</v>
      </c>
      <c r="U69" s="1">
        <v>45496</v>
      </c>
      <c r="V69" s="1">
        <v>45534</v>
      </c>
      <c r="W69">
        <v>76037</v>
      </c>
      <c r="X69">
        <v>0.51520572499999995</v>
      </c>
      <c r="Y69">
        <v>3892.1307649999999</v>
      </c>
      <c r="Z69">
        <f t="shared" si="7"/>
        <v>0.7826028625</v>
      </c>
      <c r="AA69">
        <f t="shared" si="8"/>
        <v>2487.8518764681876</v>
      </c>
      <c r="AB69" cm="1">
        <f t="array" ref="AB69">_xlfn.IFS(X69&lt;0.6,T69,0.9&lt;X69,T69,X69,AA69)</f>
        <v>1947</v>
      </c>
      <c r="AC69">
        <v>0.830322004</v>
      </c>
      <c r="AD69">
        <v>3125.9974689999999</v>
      </c>
      <c r="AE69">
        <v>1947</v>
      </c>
      <c r="AG69">
        <v>0</v>
      </c>
      <c r="AH69">
        <v>68</v>
      </c>
    </row>
    <row r="70" spans="1:34" x14ac:dyDescent="0.25">
      <c r="A70" t="s">
        <v>768</v>
      </c>
      <c r="B70" t="s">
        <v>837</v>
      </c>
      <c r="D70" t="s">
        <v>770</v>
      </c>
      <c r="E70">
        <v>69</v>
      </c>
      <c r="H70">
        <v>9005</v>
      </c>
      <c r="I70">
        <v>1</v>
      </c>
      <c r="J70" t="s">
        <v>25</v>
      </c>
      <c r="K70">
        <v>75000</v>
      </c>
      <c r="L70" t="s">
        <v>58</v>
      </c>
      <c r="M70">
        <v>9</v>
      </c>
      <c r="N70">
        <v>905</v>
      </c>
      <c r="O70">
        <v>9</v>
      </c>
      <c r="P70">
        <v>5</v>
      </c>
      <c r="Q70">
        <v>59</v>
      </c>
      <c r="R70">
        <v>19</v>
      </c>
      <c r="S70">
        <v>513</v>
      </c>
      <c r="T70">
        <v>667</v>
      </c>
      <c r="U70" s="1">
        <v>45489</v>
      </c>
      <c r="V70" s="1">
        <v>45525</v>
      </c>
      <c r="W70">
        <v>123728</v>
      </c>
      <c r="X70">
        <v>0.94007155600000003</v>
      </c>
      <c r="Y70">
        <v>819.4157103</v>
      </c>
      <c r="Z70">
        <f t="shared" si="7"/>
        <v>0.99503577800000009</v>
      </c>
      <c r="AA70">
        <f t="shared" si="8"/>
        <v>670.32765529361689</v>
      </c>
      <c r="AB70" cm="1">
        <f t="array" ref="AB70">_xlfn.IFS(X70&lt;0.6,T70,0.9&lt;X70,T70,X70,AA70)</f>
        <v>667</v>
      </c>
      <c r="AC70">
        <v>0.97902504499999998</v>
      </c>
      <c r="AD70">
        <v>751.14888550000001</v>
      </c>
      <c r="AE70">
        <v>667</v>
      </c>
      <c r="AG70">
        <v>0</v>
      </c>
      <c r="AH70">
        <v>69</v>
      </c>
    </row>
    <row r="71" spans="1:34" x14ac:dyDescent="0.25">
      <c r="A71" t="s">
        <v>768</v>
      </c>
      <c r="B71" t="s">
        <v>838</v>
      </c>
      <c r="D71" t="s">
        <v>770</v>
      </c>
      <c r="E71">
        <v>70</v>
      </c>
      <c r="H71">
        <v>10005</v>
      </c>
      <c r="I71">
        <v>1</v>
      </c>
      <c r="J71" t="s">
        <v>25</v>
      </c>
      <c r="K71">
        <v>75000</v>
      </c>
      <c r="L71" t="s">
        <v>34</v>
      </c>
      <c r="M71">
        <v>11</v>
      </c>
      <c r="N71">
        <v>1005</v>
      </c>
      <c r="O71">
        <v>10</v>
      </c>
      <c r="P71">
        <v>5</v>
      </c>
      <c r="Q71">
        <v>56</v>
      </c>
      <c r="R71">
        <v>19.2</v>
      </c>
      <c r="S71">
        <v>507</v>
      </c>
      <c r="T71">
        <v>657</v>
      </c>
      <c r="U71" s="1">
        <v>45490</v>
      </c>
      <c r="V71" s="1">
        <v>45525</v>
      </c>
      <c r="W71">
        <v>122648</v>
      </c>
      <c r="X71">
        <v>0.94826048200000002</v>
      </c>
      <c r="Y71">
        <v>814.23260059999996</v>
      </c>
      <c r="Z71">
        <f t="shared" si="7"/>
        <v>0.99913024100000003</v>
      </c>
      <c r="AA71">
        <f t="shared" si="8"/>
        <v>657.5719291034851</v>
      </c>
      <c r="AB71" cm="1">
        <f t="array" ref="AB71">_xlfn.IFS(X71&lt;0.6,T71,0.9&lt;X71,T71,X71,AA71)</f>
        <v>657</v>
      </c>
      <c r="AC71">
        <v>0.98189116899999995</v>
      </c>
      <c r="AD71">
        <v>740.62634839999998</v>
      </c>
      <c r="AE71">
        <v>657</v>
      </c>
      <c r="AG71">
        <v>0</v>
      </c>
      <c r="AH71">
        <v>70</v>
      </c>
    </row>
    <row r="72" spans="1:34" x14ac:dyDescent="0.25">
      <c r="A72" t="s">
        <v>768</v>
      </c>
      <c r="B72" t="s">
        <v>839</v>
      </c>
      <c r="D72" t="s">
        <v>770</v>
      </c>
      <c r="E72">
        <v>71</v>
      </c>
      <c r="H72">
        <v>11005</v>
      </c>
      <c r="I72">
        <v>1</v>
      </c>
      <c r="J72" t="s">
        <v>25</v>
      </c>
      <c r="K72">
        <v>75000</v>
      </c>
      <c r="L72" t="s">
        <v>66</v>
      </c>
      <c r="M72">
        <v>12</v>
      </c>
      <c r="N72">
        <v>1105</v>
      </c>
      <c r="O72">
        <v>11</v>
      </c>
      <c r="P72">
        <v>5</v>
      </c>
      <c r="Q72">
        <v>73</v>
      </c>
      <c r="R72">
        <v>21</v>
      </c>
      <c r="S72">
        <v>768</v>
      </c>
      <c r="T72">
        <v>974</v>
      </c>
      <c r="U72" s="1">
        <v>45494</v>
      </c>
      <c r="V72" s="1">
        <v>45536</v>
      </c>
      <c r="W72">
        <v>121596</v>
      </c>
      <c r="X72">
        <v>0.920464701</v>
      </c>
      <c r="Y72">
        <v>1217.548061</v>
      </c>
      <c r="Z72">
        <f t="shared" si="7"/>
        <v>0.98523235050000002</v>
      </c>
      <c r="AA72">
        <f t="shared" si="8"/>
        <v>988.59928777785296</v>
      </c>
      <c r="AB72" cm="1">
        <f t="array" ref="AB72">_xlfn.IFS(X72&lt;0.6,T72,0.9&lt;X72,T72,X72,AA72)</f>
        <v>974</v>
      </c>
      <c r="AC72">
        <v>0.97216264500000005</v>
      </c>
      <c r="AD72">
        <v>1113.2306040000001</v>
      </c>
      <c r="AE72">
        <v>974</v>
      </c>
      <c r="AG72">
        <v>0</v>
      </c>
      <c r="AH72">
        <v>71</v>
      </c>
    </row>
    <row r="73" spans="1:34" x14ac:dyDescent="0.25">
      <c r="A73" t="s">
        <v>768</v>
      </c>
      <c r="B73" t="s">
        <v>840</v>
      </c>
      <c r="D73" t="s">
        <v>770</v>
      </c>
      <c r="E73">
        <v>72</v>
      </c>
      <c r="H73">
        <v>12005</v>
      </c>
      <c r="I73">
        <v>1</v>
      </c>
      <c r="J73" t="s">
        <v>25</v>
      </c>
      <c r="K73">
        <v>75000</v>
      </c>
      <c r="L73" t="s">
        <v>46</v>
      </c>
      <c r="M73">
        <v>5</v>
      </c>
      <c r="N73">
        <v>1205</v>
      </c>
      <c r="O73">
        <v>12</v>
      </c>
      <c r="P73">
        <v>5</v>
      </c>
      <c r="Q73">
        <v>48</v>
      </c>
      <c r="R73">
        <v>17.7</v>
      </c>
      <c r="S73">
        <v>1216</v>
      </c>
      <c r="T73">
        <v>1606</v>
      </c>
      <c r="U73" s="1">
        <v>45497</v>
      </c>
      <c r="V73" s="1">
        <v>45530</v>
      </c>
      <c r="W73">
        <v>122878</v>
      </c>
      <c r="X73">
        <v>0.94290811799999996</v>
      </c>
      <c r="Y73">
        <v>1986.6470159999999</v>
      </c>
      <c r="Z73">
        <f t="shared" si="7"/>
        <v>0.99645405899999995</v>
      </c>
      <c r="AA73">
        <f t="shared" si="8"/>
        <v>1611.7150464635722</v>
      </c>
      <c r="AB73" cm="1">
        <f t="array" ref="AB73">_xlfn.IFS(X73&lt;0.6,T73,0.9&lt;X73,T73,X73,AA73)</f>
        <v>1606</v>
      </c>
      <c r="AC73">
        <v>0.980017841</v>
      </c>
      <c r="AD73">
        <v>1812.3735469999999</v>
      </c>
      <c r="AE73">
        <v>1606</v>
      </c>
      <c r="AG73">
        <v>0</v>
      </c>
      <c r="AH73">
        <v>72</v>
      </c>
    </row>
    <row r="74" spans="1:34" x14ac:dyDescent="0.25">
      <c r="A74" t="s">
        <v>768</v>
      </c>
      <c r="B74" t="s">
        <v>841</v>
      </c>
      <c r="D74" t="s">
        <v>770</v>
      </c>
      <c r="E74">
        <v>73</v>
      </c>
      <c r="H74">
        <v>13005</v>
      </c>
      <c r="I74">
        <v>1</v>
      </c>
      <c r="J74" t="s">
        <v>25</v>
      </c>
      <c r="K74">
        <v>75000</v>
      </c>
      <c r="L74" t="s">
        <v>50</v>
      </c>
      <c r="M74">
        <v>4</v>
      </c>
      <c r="N74">
        <v>1305</v>
      </c>
      <c r="O74">
        <v>13</v>
      </c>
      <c r="P74">
        <v>5</v>
      </c>
      <c r="Q74">
        <v>64</v>
      </c>
      <c r="R74">
        <v>21.6</v>
      </c>
      <c r="S74">
        <v>666</v>
      </c>
      <c r="T74">
        <v>838</v>
      </c>
      <c r="U74" s="1">
        <v>45498</v>
      </c>
      <c r="W74">
        <v>121315</v>
      </c>
      <c r="X74">
        <v>0.94454382800000003</v>
      </c>
      <c r="Y74">
        <v>1049.9608459999999</v>
      </c>
      <c r="Z74">
        <f t="shared" si="7"/>
        <v>0.99727191400000004</v>
      </c>
      <c r="AA74">
        <f t="shared" si="8"/>
        <v>840.29238990480576</v>
      </c>
      <c r="AB74" cm="1">
        <f t="array" ref="AB74">_xlfn.IFS(X74&lt;0.6,T74,0.9&lt;X74,T74,X74,AA74)</f>
        <v>838</v>
      </c>
      <c r="AC74">
        <v>0.98059034</v>
      </c>
      <c r="AD74">
        <v>950.53152379999995</v>
      </c>
      <c r="AE74">
        <v>838</v>
      </c>
      <c r="AG74">
        <v>0</v>
      </c>
      <c r="AH74">
        <v>73</v>
      </c>
    </row>
    <row r="75" spans="1:34" x14ac:dyDescent="0.25">
      <c r="A75" t="s">
        <v>768</v>
      </c>
      <c r="B75" t="s">
        <v>842</v>
      </c>
      <c r="D75" t="s">
        <v>770</v>
      </c>
      <c r="E75">
        <v>74</v>
      </c>
      <c r="H75">
        <v>14005</v>
      </c>
      <c r="I75">
        <v>1</v>
      </c>
      <c r="J75" t="s">
        <v>25</v>
      </c>
      <c r="K75">
        <v>75000</v>
      </c>
      <c r="L75" t="s">
        <v>42</v>
      </c>
      <c r="M75">
        <v>14</v>
      </c>
      <c r="N75">
        <v>1405</v>
      </c>
      <c r="O75">
        <v>14</v>
      </c>
      <c r="P75">
        <v>5</v>
      </c>
      <c r="Q75">
        <v>50</v>
      </c>
      <c r="R75">
        <v>19.899999999999999</v>
      </c>
      <c r="S75">
        <v>1223</v>
      </c>
      <c r="T75">
        <v>1572</v>
      </c>
      <c r="U75" s="1">
        <v>45494</v>
      </c>
      <c r="V75" s="1">
        <v>45530</v>
      </c>
      <c r="W75">
        <v>122658</v>
      </c>
      <c r="X75">
        <v>0.95706619000000004</v>
      </c>
      <c r="Y75">
        <v>1948.050677</v>
      </c>
      <c r="Z75">
        <f t="shared" si="7"/>
        <v>1.0035330950000001</v>
      </c>
      <c r="AA75">
        <f t="shared" si="8"/>
        <v>1566.4655284736771</v>
      </c>
      <c r="AB75" cm="1">
        <f t="array" ref="AB75">_xlfn.IFS(X75&lt;0.6,T75,0.9&lt;X75,T75,X75,AA75)</f>
        <v>1572</v>
      </c>
      <c r="AC75">
        <v>0.98497316700000004</v>
      </c>
      <c r="AD75">
        <v>1766.483043</v>
      </c>
      <c r="AE75">
        <v>1572</v>
      </c>
      <c r="AG75">
        <v>0</v>
      </c>
      <c r="AH75">
        <v>74</v>
      </c>
    </row>
    <row r="76" spans="1:34" x14ac:dyDescent="0.25">
      <c r="A76" t="s">
        <v>768</v>
      </c>
      <c r="B76" t="s">
        <v>843</v>
      </c>
      <c r="D76" t="s">
        <v>770</v>
      </c>
      <c r="E76">
        <v>75</v>
      </c>
      <c r="H76">
        <v>15005</v>
      </c>
      <c r="I76">
        <v>1</v>
      </c>
      <c r="J76" t="s">
        <v>25</v>
      </c>
      <c r="K76">
        <v>75000</v>
      </c>
      <c r="L76" t="s">
        <v>54</v>
      </c>
      <c r="M76">
        <v>10</v>
      </c>
      <c r="N76">
        <v>1505</v>
      </c>
      <c r="O76">
        <v>15</v>
      </c>
      <c r="P76">
        <v>5</v>
      </c>
      <c r="Q76">
        <v>60</v>
      </c>
      <c r="R76">
        <v>20.5</v>
      </c>
      <c r="S76">
        <v>744</v>
      </c>
      <c r="T76">
        <v>949</v>
      </c>
      <c r="U76" s="1">
        <v>45492</v>
      </c>
      <c r="V76" s="1">
        <v>45528</v>
      </c>
      <c r="W76">
        <v>123597</v>
      </c>
      <c r="X76">
        <v>0.94915254199999999</v>
      </c>
      <c r="Y76">
        <v>1167.0756650000001</v>
      </c>
      <c r="Z76">
        <f t="shared" si="7"/>
        <v>0.99957627100000002</v>
      </c>
      <c r="AA76">
        <f t="shared" si="8"/>
        <v>949.40228928263548</v>
      </c>
      <c r="AB76" cm="1">
        <f t="array" ref="AB76">_xlfn.IFS(X76&lt;0.6,T76,0.9&lt;X76,T76,X76,AA76)</f>
        <v>949</v>
      </c>
      <c r="AC76">
        <v>0.98220339000000001</v>
      </c>
      <c r="AD76">
        <v>1065.7678129999999</v>
      </c>
      <c r="AE76">
        <v>949</v>
      </c>
      <c r="AG76">
        <v>0</v>
      </c>
      <c r="AH76">
        <v>75</v>
      </c>
    </row>
    <row r="77" spans="1:34" x14ac:dyDescent="0.25">
      <c r="A77" t="s">
        <v>768</v>
      </c>
      <c r="B77" t="s">
        <v>844</v>
      </c>
      <c r="D77" t="s">
        <v>770</v>
      </c>
      <c r="E77">
        <v>76</v>
      </c>
      <c r="H77">
        <v>15006</v>
      </c>
      <c r="I77">
        <v>1</v>
      </c>
      <c r="J77" t="s">
        <v>25</v>
      </c>
      <c r="K77">
        <v>100000</v>
      </c>
      <c r="L77" t="s">
        <v>26</v>
      </c>
      <c r="M77">
        <v>23</v>
      </c>
      <c r="N77">
        <v>1506</v>
      </c>
      <c r="O77">
        <v>15</v>
      </c>
      <c r="P77">
        <v>6</v>
      </c>
      <c r="Q77">
        <v>54</v>
      </c>
      <c r="R77">
        <v>20.7</v>
      </c>
      <c r="S77">
        <v>1063</v>
      </c>
      <c r="T77">
        <v>1353</v>
      </c>
      <c r="U77" s="1">
        <v>45498</v>
      </c>
      <c r="V77" s="1">
        <v>45534</v>
      </c>
      <c r="W77">
        <v>111541</v>
      </c>
      <c r="X77">
        <v>0.811775201</v>
      </c>
      <c r="Y77">
        <v>1843.770452</v>
      </c>
      <c r="Z77">
        <f t="shared" si="7"/>
        <v>0.93088760049999997</v>
      </c>
      <c r="AA77">
        <f t="shared" si="8"/>
        <v>1453.4515222603397</v>
      </c>
      <c r="AB77" cm="1">
        <f t="array" ref="AB77">_xlfn.IFS(X77&lt;0.6,T77,0.9&lt;X77,T77,X77,AA77)</f>
        <v>1453.4515222603397</v>
      </c>
      <c r="AC77">
        <v>0.93412132000000003</v>
      </c>
      <c r="AD77">
        <v>1670.7824559999999</v>
      </c>
      <c r="AE77">
        <v>1670.7824559999999</v>
      </c>
      <c r="AG77">
        <v>0</v>
      </c>
      <c r="AH77">
        <v>76</v>
      </c>
    </row>
    <row r="78" spans="1:34" x14ac:dyDescent="0.25">
      <c r="A78" t="s">
        <v>768</v>
      </c>
      <c r="B78" t="s">
        <v>845</v>
      </c>
      <c r="D78" t="s">
        <v>770</v>
      </c>
      <c r="E78">
        <v>77</v>
      </c>
      <c r="H78">
        <v>14006</v>
      </c>
      <c r="I78">
        <v>1</v>
      </c>
      <c r="J78" t="s">
        <v>25</v>
      </c>
      <c r="K78">
        <v>100000</v>
      </c>
      <c r="L78" t="s">
        <v>58</v>
      </c>
      <c r="M78">
        <v>24</v>
      </c>
      <c r="N78">
        <v>1406</v>
      </c>
      <c r="O78">
        <v>14</v>
      </c>
      <c r="P78">
        <v>6</v>
      </c>
      <c r="Q78">
        <v>56</v>
      </c>
      <c r="R78">
        <v>18.5</v>
      </c>
      <c r="S78">
        <v>539</v>
      </c>
      <c r="T78">
        <v>705</v>
      </c>
      <c r="U78" s="1">
        <v>45493</v>
      </c>
      <c r="V78" s="1">
        <v>45523</v>
      </c>
      <c r="W78">
        <v>125487</v>
      </c>
      <c r="X78">
        <v>0.96434937600000004</v>
      </c>
      <c r="Y78">
        <v>853.95861720000005</v>
      </c>
      <c r="Z78">
        <f t="shared" si="7"/>
        <v>1.0071746880000001</v>
      </c>
      <c r="AA78">
        <f t="shared" si="8"/>
        <v>699.97787712472768</v>
      </c>
      <c r="AB78" cm="1">
        <f t="array" ref="AB78">_xlfn.IFS(X78&lt;0.6,T78,0.9&lt;X78,T78,X78,AA78)</f>
        <v>705</v>
      </c>
      <c r="AC78">
        <v>0.98752228200000003</v>
      </c>
      <c r="AD78">
        <v>782.12190169999997</v>
      </c>
      <c r="AE78">
        <v>705</v>
      </c>
      <c r="AG78">
        <v>0</v>
      </c>
      <c r="AH78">
        <v>77</v>
      </c>
    </row>
    <row r="79" spans="1:34" x14ac:dyDescent="0.25">
      <c r="A79" t="s">
        <v>768</v>
      </c>
      <c r="B79" t="s">
        <v>846</v>
      </c>
      <c r="D79" t="s">
        <v>770</v>
      </c>
      <c r="E79">
        <v>78</v>
      </c>
      <c r="H79">
        <v>13006</v>
      </c>
      <c r="I79">
        <v>1</v>
      </c>
      <c r="J79" t="s">
        <v>25</v>
      </c>
      <c r="K79">
        <v>100000</v>
      </c>
      <c r="L79" t="s">
        <v>62</v>
      </c>
      <c r="M79">
        <v>28</v>
      </c>
      <c r="N79">
        <v>1306</v>
      </c>
      <c r="O79">
        <v>13</v>
      </c>
      <c r="P79">
        <v>6</v>
      </c>
      <c r="Q79">
        <v>54</v>
      </c>
      <c r="R79">
        <v>23.2</v>
      </c>
      <c r="S79">
        <v>1886</v>
      </c>
      <c r="T79">
        <v>2324</v>
      </c>
      <c r="U79" s="1">
        <v>45499</v>
      </c>
      <c r="V79" s="1">
        <v>45535</v>
      </c>
      <c r="W79">
        <v>108032</v>
      </c>
      <c r="X79">
        <v>0.737030411</v>
      </c>
      <c r="Y79">
        <v>3269.8244589999999</v>
      </c>
      <c r="Z79">
        <f t="shared" si="7"/>
        <v>0.89351520549999996</v>
      </c>
      <c r="AA79">
        <f t="shared" si="8"/>
        <v>2600.9630118152477</v>
      </c>
      <c r="AB79" cm="1">
        <f t="array" ref="AB79">_xlfn.IFS(X79&lt;0.6,T79,0.9&lt;X79,T79,X79,AA79)</f>
        <v>2600.9630118152477</v>
      </c>
      <c r="AC79">
        <v>0.90796064399999998</v>
      </c>
      <c r="AD79">
        <v>2992.3659200000002</v>
      </c>
      <c r="AE79">
        <v>2992.3659200000002</v>
      </c>
      <c r="AG79">
        <v>0</v>
      </c>
      <c r="AH79">
        <v>78</v>
      </c>
    </row>
    <row r="80" spans="1:34" x14ac:dyDescent="0.25">
      <c r="A80" t="s">
        <v>768</v>
      </c>
      <c r="B80" t="s">
        <v>847</v>
      </c>
      <c r="D80" t="s">
        <v>770</v>
      </c>
      <c r="E80">
        <v>79</v>
      </c>
      <c r="H80">
        <v>12006</v>
      </c>
      <c r="I80">
        <v>1</v>
      </c>
      <c r="J80" t="s">
        <v>25</v>
      </c>
      <c r="K80">
        <v>100000</v>
      </c>
      <c r="L80" t="s">
        <v>66</v>
      </c>
      <c r="M80">
        <v>27</v>
      </c>
      <c r="N80">
        <v>1206</v>
      </c>
      <c r="O80">
        <v>12</v>
      </c>
      <c r="P80">
        <v>6</v>
      </c>
      <c r="Q80">
        <v>66</v>
      </c>
      <c r="R80">
        <v>19.600000000000001</v>
      </c>
      <c r="S80">
        <v>642</v>
      </c>
      <c r="T80">
        <v>828</v>
      </c>
      <c r="U80" s="1">
        <v>45495</v>
      </c>
      <c r="V80" s="1">
        <v>45536</v>
      </c>
      <c r="W80">
        <v>125538</v>
      </c>
      <c r="X80">
        <v>0.97678571400000003</v>
      </c>
      <c r="Y80">
        <v>1002.513311</v>
      </c>
      <c r="Z80">
        <f t="shared" si="7"/>
        <v>1.0133928569999999</v>
      </c>
      <c r="AA80">
        <f t="shared" si="8"/>
        <v>817.05726883764692</v>
      </c>
      <c r="AB80" cm="1">
        <f t="array" ref="AB80">_xlfn.IFS(X80&lt;0.6,T80,0.9&lt;X80,T80,X80,AA80)</f>
        <v>828</v>
      </c>
      <c r="AC80">
        <v>0.99187499999999995</v>
      </c>
      <c r="AD80">
        <v>914.36721260000002</v>
      </c>
      <c r="AE80">
        <v>828</v>
      </c>
      <c r="AG80">
        <v>0</v>
      </c>
      <c r="AH80">
        <v>79</v>
      </c>
    </row>
    <row r="81" spans="1:34" x14ac:dyDescent="0.25">
      <c r="A81" t="s">
        <v>768</v>
      </c>
      <c r="B81" t="s">
        <v>848</v>
      </c>
      <c r="D81" t="s">
        <v>770</v>
      </c>
      <c r="E81">
        <v>80</v>
      </c>
      <c r="H81">
        <v>11006</v>
      </c>
      <c r="I81">
        <v>1</v>
      </c>
      <c r="J81" t="s">
        <v>25</v>
      </c>
      <c r="K81">
        <v>100000</v>
      </c>
      <c r="L81" t="s">
        <v>34</v>
      </c>
      <c r="M81">
        <v>26</v>
      </c>
      <c r="N81">
        <v>1106</v>
      </c>
      <c r="O81">
        <v>11</v>
      </c>
      <c r="P81">
        <v>6</v>
      </c>
      <c r="Q81">
        <v>51</v>
      </c>
      <c r="R81">
        <v>19.2</v>
      </c>
      <c r="S81">
        <v>832</v>
      </c>
      <c r="T81">
        <v>1079</v>
      </c>
      <c r="U81" s="1">
        <v>45494</v>
      </c>
      <c r="V81" s="1">
        <v>45526</v>
      </c>
      <c r="W81">
        <v>124411</v>
      </c>
      <c r="X81">
        <v>0.99196428599999997</v>
      </c>
      <c r="Y81">
        <v>1318.249697</v>
      </c>
      <c r="Z81">
        <f t="shared" si="7"/>
        <v>1.0209821429999999</v>
      </c>
      <c r="AA81">
        <f t="shared" si="8"/>
        <v>1056.8255354883324</v>
      </c>
      <c r="AB81" cm="1">
        <f t="array" ref="AB81">_xlfn.IFS(X81&lt;0.6,T81,0.9&lt;X81,T81,X81,AA81)</f>
        <v>1079</v>
      </c>
      <c r="AC81">
        <v>0.9971875</v>
      </c>
      <c r="AD81">
        <v>1190.033048</v>
      </c>
      <c r="AE81">
        <v>1079</v>
      </c>
      <c r="AG81">
        <v>0</v>
      </c>
      <c r="AH81">
        <v>80</v>
      </c>
    </row>
    <row r="82" spans="1:34" x14ac:dyDescent="0.25">
      <c r="A82" t="s">
        <v>768</v>
      </c>
      <c r="B82" t="s">
        <v>849</v>
      </c>
      <c r="D82" t="s">
        <v>770</v>
      </c>
      <c r="E82">
        <v>81</v>
      </c>
      <c r="H82">
        <v>10006</v>
      </c>
      <c r="I82">
        <v>1</v>
      </c>
      <c r="J82" t="s">
        <v>25</v>
      </c>
      <c r="K82">
        <v>100000</v>
      </c>
      <c r="L82" t="s">
        <v>78</v>
      </c>
      <c r="M82">
        <v>21</v>
      </c>
      <c r="N82">
        <v>1006</v>
      </c>
      <c r="O82">
        <v>10</v>
      </c>
      <c r="P82">
        <v>6</v>
      </c>
      <c r="Q82">
        <v>56</v>
      </c>
      <c r="R82">
        <v>20.5</v>
      </c>
      <c r="S82">
        <v>823</v>
      </c>
      <c r="T82">
        <v>1050</v>
      </c>
      <c r="U82" s="1">
        <v>45491</v>
      </c>
      <c r="V82" s="1">
        <v>45526</v>
      </c>
      <c r="W82">
        <v>123499</v>
      </c>
      <c r="X82">
        <v>0.97237076600000005</v>
      </c>
      <c r="Y82">
        <v>1292.3266590000001</v>
      </c>
      <c r="Z82">
        <f t="shared" si="7"/>
        <v>1.0111853829999999</v>
      </c>
      <c r="AA82">
        <f t="shared" si="8"/>
        <v>1038.3852631303316</v>
      </c>
      <c r="AB82" cm="1">
        <f t="array" ref="AB82">_xlfn.IFS(X82&lt;0.6,T82,0.9&lt;X82,T82,X82,AA82)</f>
        <v>1050</v>
      </c>
      <c r="AC82">
        <v>0.99032976800000005</v>
      </c>
      <c r="AD82">
        <v>1169.941922</v>
      </c>
      <c r="AE82">
        <v>1050</v>
      </c>
      <c r="AG82">
        <v>0</v>
      </c>
      <c r="AH82">
        <v>81</v>
      </c>
    </row>
    <row r="83" spans="1:34" x14ac:dyDescent="0.25">
      <c r="A83" t="s">
        <v>768</v>
      </c>
      <c r="B83" t="s">
        <v>850</v>
      </c>
      <c r="D83" t="s">
        <v>770</v>
      </c>
      <c r="E83">
        <v>82</v>
      </c>
      <c r="H83">
        <v>9006</v>
      </c>
      <c r="I83">
        <v>1</v>
      </c>
      <c r="J83" t="s">
        <v>25</v>
      </c>
      <c r="K83">
        <v>100000</v>
      </c>
      <c r="L83" t="s">
        <v>50</v>
      </c>
      <c r="M83">
        <v>19</v>
      </c>
      <c r="N83">
        <v>906</v>
      </c>
      <c r="O83">
        <v>9</v>
      </c>
      <c r="P83">
        <v>6</v>
      </c>
      <c r="Q83">
        <v>72</v>
      </c>
      <c r="R83">
        <v>24</v>
      </c>
      <c r="S83">
        <v>432</v>
      </c>
      <c r="T83">
        <v>527</v>
      </c>
      <c r="U83" s="1">
        <v>45498</v>
      </c>
      <c r="W83">
        <v>124273</v>
      </c>
      <c r="X83">
        <v>0.97682709400000001</v>
      </c>
      <c r="Y83">
        <v>644.58512310000003</v>
      </c>
      <c r="Z83">
        <f t="shared" si="7"/>
        <v>1.0134135470000001</v>
      </c>
      <c r="AA83">
        <f t="shared" si="8"/>
        <v>520.02462524807743</v>
      </c>
      <c r="AB83" cm="1">
        <f t="array" ref="AB83">_xlfn.IFS(X83&lt;0.6,T83,0.9&lt;X83,T83,X83,AA83)</f>
        <v>527</v>
      </c>
      <c r="AC83">
        <v>0.99188948300000002</v>
      </c>
      <c r="AD83">
        <v>584.63357789999998</v>
      </c>
      <c r="AE83">
        <v>527</v>
      </c>
      <c r="AG83">
        <v>0</v>
      </c>
      <c r="AH83">
        <v>82</v>
      </c>
    </row>
    <row r="84" spans="1:34" x14ac:dyDescent="0.25">
      <c r="A84" t="s">
        <v>768</v>
      </c>
      <c r="B84" t="s">
        <v>851</v>
      </c>
      <c r="D84" t="s">
        <v>770</v>
      </c>
      <c r="E84">
        <v>83</v>
      </c>
      <c r="H84">
        <v>8006</v>
      </c>
      <c r="I84">
        <v>1</v>
      </c>
      <c r="J84" t="s">
        <v>25</v>
      </c>
      <c r="K84">
        <v>100000</v>
      </c>
      <c r="L84" t="s">
        <v>74</v>
      </c>
      <c r="M84">
        <v>16</v>
      </c>
      <c r="N84">
        <v>806</v>
      </c>
      <c r="O84">
        <v>8</v>
      </c>
      <c r="P84">
        <v>6</v>
      </c>
      <c r="Q84">
        <v>28</v>
      </c>
      <c r="R84">
        <v>22.7</v>
      </c>
      <c r="S84">
        <v>1549</v>
      </c>
      <c r="T84">
        <v>1921</v>
      </c>
      <c r="U84" s="1">
        <v>45497</v>
      </c>
      <c r="V84" s="1">
        <v>45535</v>
      </c>
      <c r="W84">
        <v>113134</v>
      </c>
      <c r="X84">
        <v>0.87399463799999999</v>
      </c>
      <c r="Y84">
        <v>2580.9054569999998</v>
      </c>
      <c r="Z84">
        <f t="shared" si="7"/>
        <v>0.96199731899999996</v>
      </c>
      <c r="AA84">
        <f t="shared" si="8"/>
        <v>1996.8870620106168</v>
      </c>
      <c r="AB84" cm="1">
        <f t="array" ref="AB84">_xlfn.IFS(X84&lt;0.6,T84,0.9&lt;X84,T84,X84,AA84)</f>
        <v>1996.8870620106168</v>
      </c>
      <c r="AC84">
        <v>0.95589812299999999</v>
      </c>
      <c r="AD84">
        <v>2304.2069240000001</v>
      </c>
      <c r="AE84">
        <v>2304.2069240000001</v>
      </c>
      <c r="AG84">
        <v>0</v>
      </c>
      <c r="AH84">
        <v>83</v>
      </c>
    </row>
    <row r="85" spans="1:34" x14ac:dyDescent="0.25">
      <c r="A85" t="s">
        <v>768</v>
      </c>
      <c r="B85" t="s">
        <v>852</v>
      </c>
      <c r="D85" t="s">
        <v>770</v>
      </c>
      <c r="E85">
        <v>84</v>
      </c>
      <c r="H85">
        <v>7006</v>
      </c>
      <c r="I85">
        <v>1</v>
      </c>
      <c r="J85" t="s">
        <v>25</v>
      </c>
      <c r="K85">
        <v>100000</v>
      </c>
      <c r="L85" t="s">
        <v>80</v>
      </c>
      <c r="M85">
        <v>17</v>
      </c>
      <c r="N85">
        <v>706</v>
      </c>
      <c r="O85">
        <v>7</v>
      </c>
      <c r="P85">
        <v>6</v>
      </c>
      <c r="Q85">
        <v>29</v>
      </c>
      <c r="R85">
        <v>20.3</v>
      </c>
      <c r="S85">
        <v>1943</v>
      </c>
      <c r="T85">
        <v>2485</v>
      </c>
      <c r="U85" s="1">
        <v>45498</v>
      </c>
      <c r="V85" s="1">
        <v>45536</v>
      </c>
      <c r="W85">
        <v>121688</v>
      </c>
      <c r="X85">
        <v>0.95442359200000004</v>
      </c>
      <c r="Y85">
        <v>3104.0241030000002</v>
      </c>
      <c r="Z85">
        <f t="shared" si="7"/>
        <v>1.0022117960000001</v>
      </c>
      <c r="AA85">
        <f t="shared" si="8"/>
        <v>2479.5158168343887</v>
      </c>
      <c r="AB85" cm="1">
        <f t="array" ref="AB85">_xlfn.IFS(X85&lt;0.6,T85,0.9&lt;X85,T85,X85,AA85)</f>
        <v>2485</v>
      </c>
      <c r="AC85">
        <v>0.98404825699999998</v>
      </c>
      <c r="AD85">
        <v>2804.975645</v>
      </c>
      <c r="AE85">
        <v>2485</v>
      </c>
      <c r="AG85">
        <v>0</v>
      </c>
      <c r="AH85">
        <v>84</v>
      </c>
    </row>
    <row r="86" spans="1:34" x14ac:dyDescent="0.25">
      <c r="A86" t="s">
        <v>768</v>
      </c>
      <c r="B86" t="s">
        <v>853</v>
      </c>
      <c r="D86" t="s">
        <v>770</v>
      </c>
      <c r="E86">
        <v>85</v>
      </c>
      <c r="H86">
        <v>6006</v>
      </c>
      <c r="I86">
        <v>1</v>
      </c>
      <c r="J86" t="s">
        <v>25</v>
      </c>
      <c r="K86">
        <v>100000</v>
      </c>
      <c r="L86" t="s">
        <v>54</v>
      </c>
      <c r="M86">
        <v>25</v>
      </c>
      <c r="N86">
        <v>606</v>
      </c>
      <c r="O86">
        <v>6</v>
      </c>
      <c r="P86">
        <v>6</v>
      </c>
      <c r="Q86">
        <v>61</v>
      </c>
      <c r="R86">
        <v>18.600000000000001</v>
      </c>
      <c r="S86">
        <v>827</v>
      </c>
      <c r="T86">
        <v>1080</v>
      </c>
      <c r="U86" s="1">
        <v>45491</v>
      </c>
      <c r="V86" s="1">
        <v>45525</v>
      </c>
      <c r="W86">
        <v>119735</v>
      </c>
      <c r="X86">
        <v>0.93828264800000005</v>
      </c>
      <c r="Y86">
        <v>1371.0367060000001</v>
      </c>
      <c r="Z86">
        <f t="shared" si="7"/>
        <v>0.9941413240000001</v>
      </c>
      <c r="AA86">
        <f t="shared" si="8"/>
        <v>1086.3646585523086</v>
      </c>
      <c r="AB86" cm="1">
        <f t="array" ref="AB86">_xlfn.IFS(X86&lt;0.6,T86,0.9&lt;X86,T86,X86,AA86)</f>
        <v>1080</v>
      </c>
      <c r="AC86">
        <v>0.97839892699999997</v>
      </c>
      <c r="AD86">
        <v>1234.9149560000001</v>
      </c>
      <c r="AE86">
        <v>1080</v>
      </c>
      <c r="AG86">
        <v>0</v>
      </c>
      <c r="AH86">
        <v>85</v>
      </c>
    </row>
    <row r="87" spans="1:34" x14ac:dyDescent="0.25">
      <c r="A87" t="s">
        <v>768</v>
      </c>
      <c r="B87" t="s">
        <v>854</v>
      </c>
      <c r="D87" t="s">
        <v>770</v>
      </c>
      <c r="E87">
        <v>86</v>
      </c>
      <c r="H87">
        <v>5006</v>
      </c>
      <c r="I87">
        <v>1</v>
      </c>
      <c r="J87" t="s">
        <v>25</v>
      </c>
      <c r="K87">
        <v>100000</v>
      </c>
      <c r="L87" t="s">
        <v>70</v>
      </c>
      <c r="M87">
        <v>22</v>
      </c>
      <c r="N87">
        <v>506</v>
      </c>
      <c r="O87">
        <v>5</v>
      </c>
      <c r="P87">
        <v>6</v>
      </c>
      <c r="Q87">
        <v>47</v>
      </c>
      <c r="R87">
        <v>20.5</v>
      </c>
      <c r="S87">
        <v>955</v>
      </c>
      <c r="T87">
        <v>1218</v>
      </c>
      <c r="U87" s="1">
        <v>45497</v>
      </c>
      <c r="W87">
        <v>94032</v>
      </c>
      <c r="X87">
        <v>0.65652951699999995</v>
      </c>
      <c r="Y87">
        <v>1968.861664</v>
      </c>
      <c r="Z87">
        <f t="shared" si="7"/>
        <v>0.85326475849999994</v>
      </c>
      <c r="AA87">
        <f t="shared" si="8"/>
        <v>1427.4584621790636</v>
      </c>
      <c r="AB87" cm="1">
        <f t="array" ref="AB87">_xlfn.IFS(X87&lt;0.6,T87,0.9&lt;X87,T87,X87,AA87)</f>
        <v>1427.4584621790636</v>
      </c>
      <c r="AC87">
        <v>0.879785331</v>
      </c>
      <c r="AD87">
        <v>1710.616113</v>
      </c>
      <c r="AE87">
        <v>1710.616113</v>
      </c>
      <c r="AG87">
        <v>0</v>
      </c>
      <c r="AH87">
        <v>86</v>
      </c>
    </row>
    <row r="88" spans="1:34" x14ac:dyDescent="0.25">
      <c r="A88" t="s">
        <v>768</v>
      </c>
      <c r="B88" t="s">
        <v>855</v>
      </c>
      <c r="D88" t="s">
        <v>770</v>
      </c>
      <c r="E88">
        <v>87</v>
      </c>
      <c r="H88">
        <v>4006</v>
      </c>
      <c r="I88">
        <v>1</v>
      </c>
      <c r="J88" t="s">
        <v>25</v>
      </c>
      <c r="K88">
        <v>100000</v>
      </c>
      <c r="L88" t="s">
        <v>46</v>
      </c>
      <c r="M88">
        <v>20</v>
      </c>
      <c r="N88">
        <v>406</v>
      </c>
      <c r="O88">
        <v>4</v>
      </c>
      <c r="P88">
        <v>6</v>
      </c>
      <c r="Q88">
        <v>25</v>
      </c>
      <c r="R88">
        <v>19.100000000000001</v>
      </c>
      <c r="S88">
        <v>1911</v>
      </c>
      <c r="T88">
        <v>2481</v>
      </c>
      <c r="U88" s="1">
        <v>45497</v>
      </c>
      <c r="V88" s="1">
        <v>45532</v>
      </c>
      <c r="W88">
        <v>124151</v>
      </c>
      <c r="X88">
        <v>0.98039215700000004</v>
      </c>
      <c r="Y88">
        <v>3037.526883</v>
      </c>
      <c r="Z88">
        <f t="shared" si="7"/>
        <v>1.0151960785</v>
      </c>
      <c r="AA88">
        <f t="shared" si="8"/>
        <v>2443.8628680144175</v>
      </c>
      <c r="AB88" cm="1">
        <f t="array" ref="AB88">_xlfn.IFS(X88&lt;0.6,T88,0.9&lt;X88,T88,X88,AA88)</f>
        <v>2481</v>
      </c>
      <c r="AC88">
        <v>0.99313725500000005</v>
      </c>
      <c r="AD88">
        <v>2750.0744679999998</v>
      </c>
      <c r="AE88">
        <v>2481</v>
      </c>
      <c r="AG88">
        <v>0</v>
      </c>
      <c r="AH88">
        <v>87</v>
      </c>
    </row>
    <row r="89" spans="1:34" x14ac:dyDescent="0.25">
      <c r="A89" t="s">
        <v>768</v>
      </c>
      <c r="B89" t="s">
        <v>856</v>
      </c>
      <c r="D89" t="s">
        <v>770</v>
      </c>
      <c r="E89">
        <v>88</v>
      </c>
      <c r="H89">
        <v>3006</v>
      </c>
      <c r="I89">
        <v>1</v>
      </c>
      <c r="J89" t="s">
        <v>25</v>
      </c>
      <c r="K89">
        <v>100000</v>
      </c>
      <c r="L89" t="s">
        <v>30</v>
      </c>
      <c r="M89">
        <v>30</v>
      </c>
      <c r="N89">
        <v>306</v>
      </c>
      <c r="O89">
        <v>3</v>
      </c>
      <c r="P89">
        <v>6</v>
      </c>
      <c r="Q89">
        <v>25</v>
      </c>
      <c r="R89">
        <v>20.8</v>
      </c>
      <c r="S89">
        <v>1322</v>
      </c>
      <c r="T89">
        <v>1680</v>
      </c>
      <c r="U89" s="1">
        <v>45495</v>
      </c>
      <c r="V89" s="1">
        <v>45530</v>
      </c>
      <c r="W89">
        <v>115942</v>
      </c>
      <c r="X89">
        <v>0.91347011600000005</v>
      </c>
      <c r="Y89">
        <v>2202.4515710000001</v>
      </c>
      <c r="Z89">
        <f t="shared" si="7"/>
        <v>0.98173505800000005</v>
      </c>
      <c r="AA89">
        <f t="shared" si="8"/>
        <v>1711.255991430633</v>
      </c>
      <c r="AB89" cm="1">
        <f t="array" ref="AB89">_xlfn.IFS(X89&lt;0.6,T89,0.9&lt;X89,T89,X89,AA89)</f>
        <v>1680</v>
      </c>
      <c r="AC89">
        <v>0.96971454099999999</v>
      </c>
      <c r="AD89">
        <v>1965.602474</v>
      </c>
      <c r="AE89">
        <v>1680</v>
      </c>
      <c r="AG89">
        <v>0</v>
      </c>
      <c r="AH89">
        <v>88</v>
      </c>
    </row>
    <row r="90" spans="1:34" x14ac:dyDescent="0.25">
      <c r="A90" t="s">
        <v>768</v>
      </c>
      <c r="B90" t="s">
        <v>857</v>
      </c>
      <c r="D90" t="s">
        <v>770</v>
      </c>
      <c r="E90">
        <v>89</v>
      </c>
      <c r="H90">
        <v>2006</v>
      </c>
      <c r="I90">
        <v>1</v>
      </c>
      <c r="J90" t="s">
        <v>25</v>
      </c>
      <c r="K90">
        <v>100000</v>
      </c>
      <c r="L90" t="s">
        <v>42</v>
      </c>
      <c r="M90">
        <v>29</v>
      </c>
      <c r="N90">
        <v>206</v>
      </c>
      <c r="O90">
        <v>2</v>
      </c>
      <c r="P90">
        <v>6</v>
      </c>
      <c r="Q90">
        <v>47</v>
      </c>
      <c r="R90">
        <v>21</v>
      </c>
      <c r="S90">
        <v>1359</v>
      </c>
      <c r="T90">
        <v>1723</v>
      </c>
      <c r="U90" s="1">
        <v>45494</v>
      </c>
      <c r="V90" s="1">
        <v>45528</v>
      </c>
      <c r="W90">
        <v>125734</v>
      </c>
      <c r="X90">
        <v>0.94206773600000004</v>
      </c>
      <c r="Y90">
        <v>2082.9369940000001</v>
      </c>
      <c r="Z90">
        <f t="shared" si="7"/>
        <v>0.99603386800000004</v>
      </c>
      <c r="AA90">
        <f t="shared" si="8"/>
        <v>1729.8608564985061</v>
      </c>
      <c r="AB90" cm="1">
        <f t="array" ref="AB90">_xlfn.IFS(X90&lt;0.6,T90,0.9&lt;X90,T90,X90,AA90)</f>
        <v>1723</v>
      </c>
      <c r="AC90">
        <v>0.97972370799999997</v>
      </c>
      <c r="AD90">
        <v>1924.979881</v>
      </c>
      <c r="AE90">
        <v>1723</v>
      </c>
      <c r="AG90">
        <v>0</v>
      </c>
      <c r="AH90">
        <v>89</v>
      </c>
    </row>
    <row r="91" spans="1:34" x14ac:dyDescent="0.25">
      <c r="A91" t="s">
        <v>768</v>
      </c>
      <c r="B91" t="s">
        <v>858</v>
      </c>
      <c r="D91" t="s">
        <v>770</v>
      </c>
      <c r="E91">
        <v>90</v>
      </c>
      <c r="H91">
        <v>1006</v>
      </c>
      <c r="I91">
        <v>1</v>
      </c>
      <c r="J91" t="s">
        <v>25</v>
      </c>
      <c r="K91">
        <v>100000</v>
      </c>
      <c r="L91" t="s">
        <v>38</v>
      </c>
      <c r="M91">
        <v>18</v>
      </c>
      <c r="N91">
        <v>106</v>
      </c>
      <c r="O91">
        <v>1</v>
      </c>
      <c r="P91">
        <v>6</v>
      </c>
      <c r="Q91">
        <v>45</v>
      </c>
      <c r="R91">
        <v>20.3</v>
      </c>
      <c r="S91">
        <v>2006</v>
      </c>
      <c r="T91">
        <v>2565</v>
      </c>
      <c r="U91" s="1">
        <v>45495</v>
      </c>
      <c r="W91">
        <v>117763</v>
      </c>
      <c r="X91">
        <v>0.902048085</v>
      </c>
      <c r="Y91">
        <v>3310.7390690000002</v>
      </c>
      <c r="Z91">
        <f t="shared" si="7"/>
        <v>0.97602404249999997</v>
      </c>
      <c r="AA91">
        <f t="shared" si="8"/>
        <v>2628.0090328819947</v>
      </c>
      <c r="AB91" cm="1">
        <f t="array" ref="AB91">_xlfn.IFS(X91&lt;0.6,T91,0.9&lt;X91,T91,X91,AA91)</f>
        <v>2565</v>
      </c>
      <c r="AC91">
        <v>0.96571682999999997</v>
      </c>
      <c r="AD91">
        <v>2993.1605850000001</v>
      </c>
      <c r="AE91">
        <v>2565</v>
      </c>
      <c r="AG91">
        <v>0</v>
      </c>
      <c r="AH91">
        <v>90</v>
      </c>
    </row>
    <row r="92" spans="1:34" x14ac:dyDescent="0.25">
      <c r="A92" t="s">
        <v>768</v>
      </c>
      <c r="B92" t="s">
        <v>859</v>
      </c>
      <c r="D92" t="s">
        <v>770</v>
      </c>
      <c r="E92">
        <v>91</v>
      </c>
      <c r="H92">
        <v>1007</v>
      </c>
      <c r="I92">
        <v>2</v>
      </c>
      <c r="J92" t="s">
        <v>25</v>
      </c>
      <c r="K92">
        <v>75000</v>
      </c>
      <c r="L92" t="s">
        <v>54</v>
      </c>
      <c r="M92">
        <v>10</v>
      </c>
      <c r="N92">
        <v>107</v>
      </c>
      <c r="O92">
        <v>1</v>
      </c>
      <c r="P92">
        <v>7</v>
      </c>
      <c r="Q92">
        <v>62</v>
      </c>
      <c r="R92">
        <v>20</v>
      </c>
      <c r="S92">
        <v>659</v>
      </c>
      <c r="T92">
        <v>846</v>
      </c>
      <c r="U92" s="1">
        <v>45490</v>
      </c>
      <c r="V92" s="1">
        <v>45526</v>
      </c>
      <c r="W92">
        <v>100665</v>
      </c>
      <c r="X92">
        <v>0.76854334199999996</v>
      </c>
      <c r="Y92">
        <v>1277.425123</v>
      </c>
      <c r="Z92">
        <f t="shared" si="7"/>
        <v>0.90927167099999995</v>
      </c>
      <c r="AA92">
        <f t="shared" si="8"/>
        <v>930.41499804957641</v>
      </c>
      <c r="AB92" cm="1">
        <f t="array" ref="AB92">_xlfn.IFS(X92&lt;0.6,T92,0.9&lt;X92,T92,X92,AA92)</f>
        <v>930.41499804957641</v>
      </c>
      <c r="AC92">
        <v>0.91899017000000005</v>
      </c>
      <c r="AD92">
        <v>1107.612873</v>
      </c>
      <c r="AE92">
        <v>1107.612873</v>
      </c>
      <c r="AG92">
        <v>0</v>
      </c>
      <c r="AH92">
        <v>91</v>
      </c>
    </row>
    <row r="93" spans="1:34" x14ac:dyDescent="0.25">
      <c r="A93" t="s">
        <v>768</v>
      </c>
      <c r="B93" t="s">
        <v>860</v>
      </c>
      <c r="D93" t="s">
        <v>770</v>
      </c>
      <c r="E93">
        <v>92</v>
      </c>
      <c r="H93">
        <v>2007</v>
      </c>
      <c r="I93">
        <v>2</v>
      </c>
      <c r="J93" t="s">
        <v>25</v>
      </c>
      <c r="K93">
        <v>75000</v>
      </c>
      <c r="L93" t="s">
        <v>30</v>
      </c>
      <c r="M93">
        <v>15</v>
      </c>
      <c r="N93">
        <v>207</v>
      </c>
      <c r="O93">
        <v>2</v>
      </c>
      <c r="P93">
        <v>7</v>
      </c>
      <c r="Q93">
        <v>26</v>
      </c>
      <c r="R93">
        <v>20.5</v>
      </c>
      <c r="S93">
        <v>1573</v>
      </c>
      <c r="T93">
        <v>2007</v>
      </c>
      <c r="U93" s="1">
        <v>45498</v>
      </c>
      <c r="V93" s="1">
        <v>45535</v>
      </c>
      <c r="W93">
        <v>101188</v>
      </c>
      <c r="X93">
        <v>0.74060822900000001</v>
      </c>
      <c r="Y93">
        <v>3014.8437269999999</v>
      </c>
      <c r="Z93">
        <f t="shared" si="7"/>
        <v>0.89530411450000003</v>
      </c>
      <c r="AA93">
        <f t="shared" si="8"/>
        <v>2241.6963884063553</v>
      </c>
      <c r="AB93" cm="1">
        <f t="array" ref="AB93">_xlfn.IFS(X93&lt;0.6,T93,0.9&lt;X93,T93,X93,AA93)</f>
        <v>2241.6963884063553</v>
      </c>
      <c r="AC93">
        <v>0.90921288</v>
      </c>
      <c r="AD93">
        <v>2650.4120680000001</v>
      </c>
      <c r="AE93">
        <v>2650.4120680000001</v>
      </c>
      <c r="AG93">
        <v>0</v>
      </c>
      <c r="AH93">
        <v>92</v>
      </c>
    </row>
    <row r="94" spans="1:34" x14ac:dyDescent="0.25">
      <c r="A94" t="s">
        <v>768</v>
      </c>
      <c r="B94" t="s">
        <v>861</v>
      </c>
      <c r="D94" t="s">
        <v>770</v>
      </c>
      <c r="E94">
        <v>93</v>
      </c>
      <c r="H94">
        <v>3007</v>
      </c>
      <c r="I94">
        <v>2</v>
      </c>
      <c r="J94" t="s">
        <v>25</v>
      </c>
      <c r="K94">
        <v>75000</v>
      </c>
      <c r="L94" t="s">
        <v>78</v>
      </c>
      <c r="M94">
        <v>6</v>
      </c>
      <c r="N94">
        <v>307</v>
      </c>
      <c r="O94">
        <v>3</v>
      </c>
      <c r="P94">
        <v>7</v>
      </c>
      <c r="Q94">
        <v>59</v>
      </c>
      <c r="R94">
        <v>18.899999999999999</v>
      </c>
      <c r="S94">
        <v>678</v>
      </c>
      <c r="T94">
        <v>882</v>
      </c>
      <c r="U94" s="1">
        <v>45492</v>
      </c>
      <c r="V94" s="1">
        <v>45527</v>
      </c>
      <c r="W94">
        <v>109193</v>
      </c>
      <c r="X94">
        <v>0.81071428599999995</v>
      </c>
      <c r="Y94">
        <v>1227.771011</v>
      </c>
      <c r="Z94">
        <f t="shared" si="7"/>
        <v>0.93035714299999994</v>
      </c>
      <c r="AA94">
        <f t="shared" si="8"/>
        <v>948.0230324839888</v>
      </c>
      <c r="AB94" cm="1">
        <f t="array" ref="AB94">_xlfn.IFS(X94&lt;0.6,T94,0.9&lt;X94,T94,X94,AA94)</f>
        <v>948.0230324839888</v>
      </c>
      <c r="AC94">
        <v>0.93374999999999997</v>
      </c>
      <c r="AD94">
        <v>1099.38554</v>
      </c>
      <c r="AE94">
        <v>1099.38554</v>
      </c>
      <c r="AG94">
        <v>0</v>
      </c>
      <c r="AH94">
        <v>93</v>
      </c>
    </row>
    <row r="95" spans="1:34" x14ac:dyDescent="0.25">
      <c r="A95" t="s">
        <v>768</v>
      </c>
      <c r="B95" t="s">
        <v>862</v>
      </c>
      <c r="D95" t="s">
        <v>770</v>
      </c>
      <c r="E95">
        <v>94</v>
      </c>
      <c r="H95">
        <v>4007</v>
      </c>
      <c r="I95">
        <v>2</v>
      </c>
      <c r="J95" t="s">
        <v>25</v>
      </c>
      <c r="K95">
        <v>75000</v>
      </c>
      <c r="L95" t="s">
        <v>74</v>
      </c>
      <c r="M95">
        <v>1</v>
      </c>
      <c r="N95">
        <v>407</v>
      </c>
      <c r="O95">
        <v>4</v>
      </c>
      <c r="P95">
        <v>7</v>
      </c>
      <c r="Q95">
        <v>28</v>
      </c>
      <c r="R95">
        <v>20.3</v>
      </c>
      <c r="S95">
        <v>1673</v>
      </c>
      <c r="T95">
        <v>2140</v>
      </c>
      <c r="U95" s="1">
        <v>45497</v>
      </c>
      <c r="V95" s="1">
        <v>45537</v>
      </c>
      <c r="W95">
        <v>108157</v>
      </c>
      <c r="X95">
        <v>0.76228775699999995</v>
      </c>
      <c r="Y95">
        <v>3007.4996529999999</v>
      </c>
      <c r="Z95">
        <f t="shared" si="7"/>
        <v>0.9061438785</v>
      </c>
      <c r="AA95">
        <f t="shared" si="8"/>
        <v>2361.6558592687111</v>
      </c>
      <c r="AB95" cm="1">
        <f t="array" ref="AB95">_xlfn.IFS(X95&lt;0.6,T95,0.9&lt;X95,T95,X95,AA95)</f>
        <v>2361.6558592687111</v>
      </c>
      <c r="AC95">
        <v>0.91680071500000004</v>
      </c>
      <c r="AD95">
        <v>2727.5836949999998</v>
      </c>
      <c r="AE95">
        <v>2727.5836949999998</v>
      </c>
      <c r="AG95">
        <v>0</v>
      </c>
      <c r="AH95">
        <v>94</v>
      </c>
    </row>
    <row r="96" spans="1:34" x14ac:dyDescent="0.25">
      <c r="A96" t="s">
        <v>768</v>
      </c>
      <c r="B96" t="s">
        <v>863</v>
      </c>
      <c r="D96" t="s">
        <v>770</v>
      </c>
      <c r="E96">
        <v>95</v>
      </c>
      <c r="H96">
        <v>5007</v>
      </c>
      <c r="I96">
        <v>2</v>
      </c>
      <c r="J96" t="s">
        <v>25</v>
      </c>
      <c r="K96">
        <v>75000</v>
      </c>
      <c r="L96" t="s">
        <v>58</v>
      </c>
      <c r="M96">
        <v>9</v>
      </c>
      <c r="N96">
        <v>507</v>
      </c>
      <c r="O96">
        <v>5</v>
      </c>
      <c r="P96">
        <v>7</v>
      </c>
      <c r="Q96">
        <v>65</v>
      </c>
      <c r="R96">
        <v>19.899999999999999</v>
      </c>
      <c r="S96">
        <v>378</v>
      </c>
      <c r="T96">
        <v>486</v>
      </c>
      <c r="U96" s="1">
        <v>45488</v>
      </c>
      <c r="V96" s="1">
        <v>45522</v>
      </c>
      <c r="W96">
        <v>115916</v>
      </c>
      <c r="X96">
        <v>0.78342246000000004</v>
      </c>
      <c r="Y96">
        <v>637.28487870000004</v>
      </c>
      <c r="Z96">
        <f t="shared" si="7"/>
        <v>0.91671122999999999</v>
      </c>
      <c r="AA96">
        <f t="shared" si="8"/>
        <v>530.156044886676</v>
      </c>
      <c r="AB96" cm="1">
        <f t="array" ref="AB96">_xlfn.IFS(X96&lt;0.6,T96,0.9&lt;X96,T96,X96,AA96)</f>
        <v>530.156044886676</v>
      </c>
      <c r="AC96">
        <v>0.92419786100000001</v>
      </c>
      <c r="AD96">
        <v>596.68484460000002</v>
      </c>
      <c r="AE96">
        <v>596.68484460000002</v>
      </c>
      <c r="AG96">
        <v>0</v>
      </c>
      <c r="AH96">
        <v>95</v>
      </c>
    </row>
    <row r="97" spans="1:34" x14ac:dyDescent="0.25">
      <c r="A97" t="s">
        <v>768</v>
      </c>
      <c r="B97" t="s">
        <v>864</v>
      </c>
      <c r="D97" t="s">
        <v>770</v>
      </c>
      <c r="E97">
        <v>96</v>
      </c>
      <c r="H97">
        <v>6007</v>
      </c>
      <c r="I97">
        <v>2</v>
      </c>
      <c r="J97" t="s">
        <v>25</v>
      </c>
      <c r="K97">
        <v>75000</v>
      </c>
      <c r="L97" t="s">
        <v>62</v>
      </c>
      <c r="M97">
        <v>13</v>
      </c>
      <c r="N97">
        <v>607</v>
      </c>
      <c r="O97">
        <v>6</v>
      </c>
      <c r="P97">
        <v>7</v>
      </c>
      <c r="Q97">
        <v>27</v>
      </c>
      <c r="R97">
        <v>18.100000000000001</v>
      </c>
      <c r="S97">
        <v>1526</v>
      </c>
      <c r="T97">
        <v>2005</v>
      </c>
      <c r="U97" s="1">
        <v>45497</v>
      </c>
      <c r="V97" s="1">
        <v>45535</v>
      </c>
      <c r="W97">
        <v>88994</v>
      </c>
      <c r="X97">
        <v>0.57321428600000002</v>
      </c>
      <c r="Y97">
        <v>3424.5230580000002</v>
      </c>
      <c r="Z97">
        <f t="shared" si="7"/>
        <v>0.81160714300000003</v>
      </c>
      <c r="AA97">
        <f t="shared" si="8"/>
        <v>2470.407040269235</v>
      </c>
      <c r="AB97" cm="1">
        <f t="array" ref="AB97">_xlfn.IFS(X97&lt;0.6,T97,0.9&lt;X97,T97,X97,AA97)</f>
        <v>2005</v>
      </c>
      <c r="AC97">
        <v>0.85062499999999996</v>
      </c>
      <c r="AD97">
        <v>2973.3404759999999</v>
      </c>
      <c r="AE97">
        <v>2005</v>
      </c>
      <c r="AG97">
        <v>0</v>
      </c>
      <c r="AH97">
        <v>96</v>
      </c>
    </row>
    <row r="98" spans="1:34" x14ac:dyDescent="0.25">
      <c r="A98" t="s">
        <v>768</v>
      </c>
      <c r="B98" t="s">
        <v>865</v>
      </c>
      <c r="D98" t="s">
        <v>770</v>
      </c>
      <c r="E98">
        <v>97</v>
      </c>
      <c r="H98">
        <v>7007</v>
      </c>
      <c r="I98">
        <v>2</v>
      </c>
      <c r="J98" t="s">
        <v>25</v>
      </c>
      <c r="K98">
        <v>75000</v>
      </c>
      <c r="L98" t="s">
        <v>42</v>
      </c>
      <c r="M98">
        <v>14</v>
      </c>
      <c r="N98">
        <v>707</v>
      </c>
      <c r="O98">
        <v>7</v>
      </c>
      <c r="P98">
        <v>7</v>
      </c>
      <c r="Q98">
        <v>53</v>
      </c>
      <c r="R98">
        <v>19.399999999999999</v>
      </c>
      <c r="S98">
        <v>1575</v>
      </c>
      <c r="T98">
        <v>2037</v>
      </c>
      <c r="U98" s="1">
        <v>45494</v>
      </c>
      <c r="V98" s="1">
        <v>45532</v>
      </c>
      <c r="W98">
        <v>104167</v>
      </c>
      <c r="X98">
        <v>0.74331550800000001</v>
      </c>
      <c r="Y98">
        <v>2972.3222230000001</v>
      </c>
      <c r="Z98">
        <f t="shared" si="7"/>
        <v>0.89665775400000003</v>
      </c>
      <c r="AA98">
        <f t="shared" si="8"/>
        <v>2271.7697927809363</v>
      </c>
      <c r="AB98" cm="1">
        <f t="array" ref="AB98">_xlfn.IFS(X98&lt;0.6,T98,0.9&lt;X98,T98,X98,AA98)</f>
        <v>2271.7697927809363</v>
      </c>
      <c r="AC98">
        <v>0.91016042799999997</v>
      </c>
      <c r="AD98">
        <v>2655.9506150000002</v>
      </c>
      <c r="AE98">
        <v>2655.9506150000002</v>
      </c>
      <c r="AG98">
        <v>0</v>
      </c>
      <c r="AH98">
        <v>97</v>
      </c>
    </row>
    <row r="99" spans="1:34" x14ac:dyDescent="0.25">
      <c r="A99" t="s">
        <v>768</v>
      </c>
      <c r="B99" t="s">
        <v>866</v>
      </c>
      <c r="D99" t="s">
        <v>770</v>
      </c>
      <c r="E99">
        <v>98</v>
      </c>
      <c r="H99">
        <v>8007</v>
      </c>
      <c r="I99">
        <v>2</v>
      </c>
      <c r="J99" t="s">
        <v>25</v>
      </c>
      <c r="K99">
        <v>75000</v>
      </c>
      <c r="L99" t="s">
        <v>26</v>
      </c>
      <c r="M99">
        <v>8</v>
      </c>
      <c r="N99">
        <v>807</v>
      </c>
      <c r="O99">
        <v>8</v>
      </c>
      <c r="P99">
        <v>7</v>
      </c>
      <c r="Q99">
        <v>28</v>
      </c>
      <c r="R99">
        <v>20</v>
      </c>
      <c r="S99">
        <v>1804</v>
      </c>
      <c r="T99">
        <v>2316</v>
      </c>
      <c r="U99" s="1">
        <v>45498</v>
      </c>
      <c r="V99" s="1">
        <v>45533</v>
      </c>
      <c r="W99">
        <v>112556</v>
      </c>
      <c r="X99">
        <v>0.86631016000000005</v>
      </c>
      <c r="Y99">
        <v>3127.637052</v>
      </c>
      <c r="Z99">
        <f t="shared" si="7"/>
        <v>0.95815508000000005</v>
      </c>
      <c r="AA99">
        <f t="shared" si="8"/>
        <v>2417.1452495977996</v>
      </c>
      <c r="AB99" cm="1">
        <f t="array" ref="AB99">_xlfn.IFS(X99&lt;0.6,T99,0.9&lt;X99,T99,X99,AA99)</f>
        <v>2417.1452495977996</v>
      </c>
      <c r="AC99">
        <v>0.95320855599999998</v>
      </c>
      <c r="AD99">
        <v>2791.9510949999999</v>
      </c>
      <c r="AE99">
        <v>2791.9510949999999</v>
      </c>
      <c r="AG99">
        <v>0</v>
      </c>
      <c r="AH99">
        <v>98</v>
      </c>
    </row>
    <row r="100" spans="1:34" x14ac:dyDescent="0.25">
      <c r="A100" t="s">
        <v>768</v>
      </c>
      <c r="B100" t="s">
        <v>867</v>
      </c>
      <c r="D100" t="s">
        <v>770</v>
      </c>
      <c r="E100">
        <v>99</v>
      </c>
      <c r="H100">
        <v>9007</v>
      </c>
      <c r="I100">
        <v>2</v>
      </c>
      <c r="J100" t="s">
        <v>25</v>
      </c>
      <c r="K100">
        <v>75000</v>
      </c>
      <c r="L100" t="s">
        <v>70</v>
      </c>
      <c r="M100">
        <v>7</v>
      </c>
      <c r="N100">
        <v>907</v>
      </c>
      <c r="O100">
        <v>9</v>
      </c>
      <c r="P100">
        <v>7</v>
      </c>
      <c r="Q100">
        <v>50</v>
      </c>
      <c r="R100">
        <v>18.899999999999999</v>
      </c>
      <c r="S100">
        <v>1139</v>
      </c>
      <c r="T100">
        <v>1482</v>
      </c>
      <c r="U100" s="1">
        <v>45496</v>
      </c>
      <c r="W100">
        <v>101116</v>
      </c>
      <c r="X100">
        <v>0.68872987500000005</v>
      </c>
      <c r="Y100">
        <v>2227.748685</v>
      </c>
      <c r="Z100">
        <f t="shared" si="7"/>
        <v>0.8693649375000001</v>
      </c>
      <c r="AA100">
        <f t="shared" si="8"/>
        <v>1704.6926280023799</v>
      </c>
      <c r="AB100" cm="1">
        <f t="array" ref="AB100">_xlfn.IFS(X100&lt;0.6,T100,0.9&lt;X100,T100,X100,AA100)</f>
        <v>1704.6926280023799</v>
      </c>
      <c r="AC100">
        <v>0.89105545600000002</v>
      </c>
      <c r="AD100">
        <v>1997.5385610000001</v>
      </c>
      <c r="AE100">
        <v>1997.5385610000001</v>
      </c>
      <c r="AG100">
        <v>0</v>
      </c>
      <c r="AH100">
        <v>99</v>
      </c>
    </row>
    <row r="101" spans="1:34" x14ac:dyDescent="0.25">
      <c r="A101" t="s">
        <v>768</v>
      </c>
      <c r="B101" s="2" t="s">
        <v>868</v>
      </c>
      <c r="D101" t="s">
        <v>770</v>
      </c>
      <c r="E101">
        <v>100</v>
      </c>
      <c r="H101">
        <v>10007</v>
      </c>
      <c r="I101">
        <v>2</v>
      </c>
      <c r="J101" t="s">
        <v>25</v>
      </c>
      <c r="K101">
        <v>75000</v>
      </c>
      <c r="L101" t="s">
        <v>80</v>
      </c>
      <c r="M101">
        <v>2</v>
      </c>
      <c r="N101">
        <v>1007</v>
      </c>
      <c r="O101">
        <v>10</v>
      </c>
      <c r="P101">
        <v>7</v>
      </c>
      <c r="Q101">
        <v>25</v>
      </c>
      <c r="R101">
        <v>19.7</v>
      </c>
      <c r="S101">
        <v>1479</v>
      </c>
      <c r="T101">
        <v>1906</v>
      </c>
      <c r="U101" s="1">
        <v>45498</v>
      </c>
      <c r="V101" s="1">
        <v>45536</v>
      </c>
      <c r="W101">
        <v>106696</v>
      </c>
      <c r="X101">
        <v>0.79445933899999999</v>
      </c>
      <c r="Y101">
        <v>2715.3211550000001</v>
      </c>
      <c r="Z101">
        <f t="shared" si="7"/>
        <v>0.92222966950000007</v>
      </c>
      <c r="AA101">
        <f t="shared" si="8"/>
        <v>2066.7302983576369</v>
      </c>
      <c r="AB101" cm="1">
        <f t="array" ref="AB101">_xlfn.IFS(X101&lt;0.6,T101,0.9&lt;X101,T101,X101,AA101)</f>
        <v>2066.7302983576369</v>
      </c>
      <c r="AC101">
        <v>0.92806076900000001</v>
      </c>
      <c r="AD101">
        <v>2413.4123479999998</v>
      </c>
      <c r="AE101">
        <v>2413.4123479999998</v>
      </c>
      <c r="AG101">
        <v>0</v>
      </c>
      <c r="AH101">
        <v>100</v>
      </c>
    </row>
    <row r="102" spans="1:34" x14ac:dyDescent="0.25">
      <c r="A102" t="s">
        <v>768</v>
      </c>
      <c r="B102">
        <v>1485745121</v>
      </c>
      <c r="D102" t="s">
        <v>770</v>
      </c>
      <c r="E102">
        <v>101</v>
      </c>
      <c r="H102">
        <v>11007</v>
      </c>
      <c r="I102">
        <v>2</v>
      </c>
      <c r="J102" t="s">
        <v>25</v>
      </c>
      <c r="K102">
        <v>75000</v>
      </c>
      <c r="L102" t="s">
        <v>46</v>
      </c>
      <c r="M102">
        <v>5</v>
      </c>
      <c r="N102">
        <v>1107</v>
      </c>
      <c r="O102">
        <v>11</v>
      </c>
      <c r="P102">
        <v>7</v>
      </c>
      <c r="U102" s="1">
        <v>45496</v>
      </c>
      <c r="V102" s="1">
        <v>45532</v>
      </c>
      <c r="W102">
        <v>111606</v>
      </c>
      <c r="X102">
        <v>0.84780662500000004</v>
      </c>
      <c r="Z102">
        <f t="shared" si="7"/>
        <v>0.94890331250000004</v>
      </c>
      <c r="AG102">
        <v>0</v>
      </c>
      <c r="AH102">
        <v>101</v>
      </c>
    </row>
    <row r="103" spans="1:34" x14ac:dyDescent="0.25">
      <c r="A103" t="s">
        <v>768</v>
      </c>
      <c r="B103" t="s">
        <v>869</v>
      </c>
      <c r="D103" t="s">
        <v>770</v>
      </c>
      <c r="E103">
        <v>102</v>
      </c>
      <c r="H103">
        <v>12007</v>
      </c>
      <c r="I103">
        <v>2</v>
      </c>
      <c r="J103" t="s">
        <v>25</v>
      </c>
      <c r="K103">
        <v>75000</v>
      </c>
      <c r="L103" t="s">
        <v>50</v>
      </c>
      <c r="M103">
        <v>4</v>
      </c>
      <c r="N103">
        <v>1207</v>
      </c>
      <c r="O103">
        <v>12</v>
      </c>
      <c r="P103">
        <v>7</v>
      </c>
      <c r="Q103">
        <v>66</v>
      </c>
      <c r="R103">
        <v>22.9</v>
      </c>
      <c r="S103">
        <v>588</v>
      </c>
      <c r="T103">
        <v>727</v>
      </c>
      <c r="U103" s="1">
        <v>45494</v>
      </c>
      <c r="V103" s="1">
        <v>45537</v>
      </c>
      <c r="W103">
        <v>113115</v>
      </c>
      <c r="X103">
        <v>0.81729055299999998</v>
      </c>
      <c r="Y103">
        <v>976.92372360000002</v>
      </c>
      <c r="Z103">
        <f t="shared" si="7"/>
        <v>0.93364527650000007</v>
      </c>
      <c r="AA103">
        <f>T103/Z103</f>
        <v>778.66832114798365</v>
      </c>
      <c r="AB103" cm="1">
        <f t="array" ref="AB103">_xlfn.IFS(X103&lt;0.6,T103,0.9&lt;X103,T103,X103,AA103)</f>
        <v>778.66832114798365</v>
      </c>
      <c r="AC103">
        <v>0.93605169399999999</v>
      </c>
      <c r="AD103">
        <v>890.58439199999998</v>
      </c>
      <c r="AE103">
        <v>890.58439199999998</v>
      </c>
      <c r="AG103">
        <v>0</v>
      </c>
      <c r="AH103">
        <v>102</v>
      </c>
    </row>
    <row r="104" spans="1:34" x14ac:dyDescent="0.25">
      <c r="A104" t="s">
        <v>768</v>
      </c>
      <c r="B104" t="s">
        <v>870</v>
      </c>
      <c r="D104" t="s">
        <v>770</v>
      </c>
      <c r="E104">
        <v>103</v>
      </c>
      <c r="H104">
        <v>13007</v>
      </c>
      <c r="I104">
        <v>2</v>
      </c>
      <c r="J104" t="s">
        <v>25</v>
      </c>
      <c r="K104">
        <v>75000</v>
      </c>
      <c r="L104" t="s">
        <v>66</v>
      </c>
      <c r="M104">
        <v>12</v>
      </c>
      <c r="N104">
        <v>1307</v>
      </c>
      <c r="O104">
        <v>13</v>
      </c>
      <c r="P104">
        <v>7</v>
      </c>
      <c r="Q104">
        <v>76</v>
      </c>
      <c r="R104">
        <v>22</v>
      </c>
      <c r="S104">
        <v>745</v>
      </c>
      <c r="T104">
        <v>932</v>
      </c>
      <c r="U104" s="1">
        <v>45495</v>
      </c>
      <c r="W104">
        <v>97701</v>
      </c>
      <c r="X104">
        <v>0.65093499600000004</v>
      </c>
      <c r="Y104">
        <v>1449.984463</v>
      </c>
      <c r="Z104">
        <f t="shared" si="7"/>
        <v>0.85046749799999999</v>
      </c>
      <c r="AA104">
        <f>T104/Z104</f>
        <v>1095.8678634888879</v>
      </c>
      <c r="AB104" cm="1">
        <f t="array" ref="AB104">_xlfn.IFS(X104&lt;0.6,T104,0.9&lt;X104,T104,X104,AA104)</f>
        <v>1095.8678634888879</v>
      </c>
      <c r="AC104">
        <v>0.87782724899999998</v>
      </c>
      <c r="AD104">
        <v>1292.591437</v>
      </c>
      <c r="AE104">
        <v>1292.591437</v>
      </c>
      <c r="AG104">
        <v>0</v>
      </c>
      <c r="AH104">
        <v>103</v>
      </c>
    </row>
    <row r="105" spans="1:34" x14ac:dyDescent="0.25">
      <c r="A105" t="s">
        <v>768</v>
      </c>
      <c r="B105" t="s">
        <v>871</v>
      </c>
      <c r="D105" t="s">
        <v>770</v>
      </c>
      <c r="E105">
        <v>104</v>
      </c>
      <c r="H105">
        <v>14007</v>
      </c>
      <c r="I105">
        <v>2</v>
      </c>
      <c r="J105" t="s">
        <v>25</v>
      </c>
      <c r="K105">
        <v>75000</v>
      </c>
      <c r="L105" t="s">
        <v>34</v>
      </c>
      <c r="M105">
        <v>11</v>
      </c>
      <c r="N105">
        <v>1407</v>
      </c>
      <c r="O105">
        <v>14</v>
      </c>
      <c r="P105">
        <v>7</v>
      </c>
      <c r="Q105">
        <v>57</v>
      </c>
      <c r="R105">
        <v>20.6</v>
      </c>
      <c r="S105">
        <v>253</v>
      </c>
      <c r="T105">
        <v>322</v>
      </c>
      <c r="U105" s="1">
        <v>45490</v>
      </c>
      <c r="V105" s="1">
        <v>45525</v>
      </c>
      <c r="W105">
        <v>97018</v>
      </c>
      <c r="X105">
        <v>0.66934763200000003</v>
      </c>
      <c r="Y105">
        <v>504.48370410000001</v>
      </c>
      <c r="Z105">
        <f t="shared" si="7"/>
        <v>0.85967381600000004</v>
      </c>
      <c r="AA105">
        <f>T105/Z105</f>
        <v>374.56066941557282</v>
      </c>
      <c r="AB105" cm="1">
        <f t="array" ref="AB105">_xlfn.IFS(X105&lt;0.6,T105,0.9&lt;X105,T105,X105,AA105)</f>
        <v>374.56066941557282</v>
      </c>
      <c r="AC105">
        <v>0.88427167100000004</v>
      </c>
      <c r="AD105">
        <v>444.5422082</v>
      </c>
      <c r="AE105">
        <v>444.5422082</v>
      </c>
      <c r="AG105">
        <v>0</v>
      </c>
      <c r="AH105">
        <v>104</v>
      </c>
    </row>
    <row r="106" spans="1:34" x14ac:dyDescent="0.25">
      <c r="A106" t="s">
        <v>768</v>
      </c>
      <c r="B106" t="s">
        <v>872</v>
      </c>
      <c r="D106" t="s">
        <v>770</v>
      </c>
      <c r="E106">
        <v>105</v>
      </c>
      <c r="H106">
        <v>15007</v>
      </c>
      <c r="I106">
        <v>2</v>
      </c>
      <c r="J106" t="s">
        <v>25</v>
      </c>
      <c r="K106">
        <v>75000</v>
      </c>
      <c r="L106" t="s">
        <v>38</v>
      </c>
      <c r="M106">
        <v>3</v>
      </c>
      <c r="N106">
        <v>1507</v>
      </c>
      <c r="O106">
        <v>15</v>
      </c>
      <c r="P106">
        <v>7</v>
      </c>
      <c r="Q106">
        <v>34</v>
      </c>
      <c r="R106">
        <v>17.600000000000001</v>
      </c>
      <c r="S106">
        <v>1537</v>
      </c>
      <c r="T106">
        <v>2032</v>
      </c>
      <c r="U106" s="1">
        <v>45494</v>
      </c>
      <c r="V106" s="1">
        <v>45536</v>
      </c>
      <c r="W106">
        <v>111305</v>
      </c>
      <c r="X106">
        <v>0.82918149500000005</v>
      </c>
      <c r="Y106">
        <v>2774.9337409999998</v>
      </c>
      <c r="Z106">
        <f t="shared" si="7"/>
        <v>0.93959074750000005</v>
      </c>
      <c r="AA106">
        <f>T106/Z106</f>
        <v>2162.643688655523</v>
      </c>
      <c r="AB106" cm="1">
        <f t="array" ref="AB106">_xlfn.IFS(X106&lt;0.6,T106,0.9&lt;X106,T106,X106,AA106)</f>
        <v>2162.643688655523</v>
      </c>
      <c r="AC106">
        <v>0.94021352300000005</v>
      </c>
      <c r="AD106">
        <v>2495.2363449999998</v>
      </c>
      <c r="AE106">
        <v>2495.2363449999998</v>
      </c>
      <c r="AG106">
        <v>0</v>
      </c>
      <c r="AH106">
        <v>105</v>
      </c>
    </row>
    <row r="107" spans="1:34" x14ac:dyDescent="0.25">
      <c r="A107" t="s">
        <v>768</v>
      </c>
      <c r="B107" t="s">
        <v>873</v>
      </c>
      <c r="D107" t="s">
        <v>770</v>
      </c>
      <c r="E107">
        <v>106</v>
      </c>
      <c r="H107">
        <v>15008</v>
      </c>
      <c r="I107">
        <v>2</v>
      </c>
      <c r="J107" t="s">
        <v>25</v>
      </c>
      <c r="K107">
        <v>150000</v>
      </c>
      <c r="L107" t="s">
        <v>42</v>
      </c>
      <c r="M107">
        <v>44</v>
      </c>
      <c r="N107">
        <v>1508</v>
      </c>
      <c r="O107">
        <v>15</v>
      </c>
      <c r="P107">
        <v>8</v>
      </c>
      <c r="Q107">
        <v>45</v>
      </c>
      <c r="R107">
        <v>17.899999999999999</v>
      </c>
      <c r="S107">
        <v>1140</v>
      </c>
      <c r="T107">
        <v>1502</v>
      </c>
      <c r="U107" s="1">
        <v>45493</v>
      </c>
      <c r="V107" s="1">
        <v>45526</v>
      </c>
      <c r="W107">
        <v>118423</v>
      </c>
      <c r="X107">
        <v>0.86493738799999997</v>
      </c>
      <c r="Y107">
        <v>1927.881425</v>
      </c>
      <c r="Z107">
        <f t="shared" si="7"/>
        <v>0.95746869400000001</v>
      </c>
      <c r="AA107">
        <f>T107/Z107</f>
        <v>1568.7196974818271</v>
      </c>
      <c r="AB107" cm="1">
        <f t="array" ref="AB107">_xlfn.IFS(X107&lt;0.6,T107,0.9&lt;X107,T107,X107,AA107)</f>
        <v>1568.7196974818271</v>
      </c>
      <c r="AC107">
        <v>0.95272808600000003</v>
      </c>
      <c r="AD107">
        <v>1772.279331</v>
      </c>
      <c r="AE107">
        <v>1772.279331</v>
      </c>
      <c r="AG107">
        <v>0</v>
      </c>
      <c r="AH107">
        <v>106</v>
      </c>
    </row>
    <row r="108" spans="1:34" x14ac:dyDescent="0.25">
      <c r="A108" t="s">
        <v>768</v>
      </c>
      <c r="B108">
        <v>1157728786</v>
      </c>
      <c r="D108" t="s">
        <v>770</v>
      </c>
      <c r="E108">
        <v>107</v>
      </c>
      <c r="H108">
        <v>14008</v>
      </c>
      <c r="I108">
        <v>2</v>
      </c>
      <c r="J108" t="s">
        <v>25</v>
      </c>
      <c r="K108">
        <v>150000</v>
      </c>
      <c r="L108" t="s">
        <v>34</v>
      </c>
      <c r="M108">
        <v>41</v>
      </c>
      <c r="N108">
        <v>1408</v>
      </c>
      <c r="O108">
        <v>14</v>
      </c>
      <c r="P108">
        <v>8</v>
      </c>
      <c r="U108" s="1">
        <v>45491</v>
      </c>
      <c r="V108" s="1">
        <v>45528</v>
      </c>
      <c r="W108">
        <v>115099</v>
      </c>
      <c r="X108">
        <v>0.83065953699999995</v>
      </c>
      <c r="AG108">
        <v>0</v>
      </c>
      <c r="AH108">
        <v>107</v>
      </c>
    </row>
    <row r="109" spans="1:34" x14ac:dyDescent="0.25">
      <c r="A109" t="s">
        <v>768</v>
      </c>
      <c r="B109" t="s">
        <v>874</v>
      </c>
      <c r="D109" t="s">
        <v>770</v>
      </c>
      <c r="E109">
        <v>108</v>
      </c>
      <c r="H109">
        <v>13008</v>
      </c>
      <c r="I109">
        <v>2</v>
      </c>
      <c r="J109" t="s">
        <v>25</v>
      </c>
      <c r="K109">
        <v>150000</v>
      </c>
      <c r="L109" t="s">
        <v>38</v>
      </c>
      <c r="M109">
        <v>33</v>
      </c>
      <c r="N109">
        <v>1308</v>
      </c>
      <c r="O109">
        <v>13</v>
      </c>
      <c r="P109">
        <v>8</v>
      </c>
      <c r="Q109">
        <v>40</v>
      </c>
      <c r="R109">
        <v>18.899999999999999</v>
      </c>
      <c r="S109">
        <v>1559</v>
      </c>
      <c r="T109">
        <v>2029</v>
      </c>
      <c r="U109" s="1">
        <v>45497</v>
      </c>
      <c r="V109" s="1">
        <v>45534</v>
      </c>
      <c r="W109">
        <v>111288</v>
      </c>
      <c r="X109">
        <v>0.85535714299999999</v>
      </c>
      <c r="Y109">
        <v>2771.278386</v>
      </c>
      <c r="Z109">
        <f t="shared" ref="Z109:Z172" si="9">1-((0.95-X109)*0.5)</f>
        <v>0.95267857150000002</v>
      </c>
      <c r="AA109">
        <f t="shared" ref="AA109:AA172" si="10">T109/Z109</f>
        <v>2129.784442202078</v>
      </c>
      <c r="AB109" cm="1">
        <f t="array" ref="AB109">_xlfn.IFS(X109&lt;0.6,T109,0.9&lt;X109,T109,X109,AA109)</f>
        <v>2129.784442202078</v>
      </c>
      <c r="AC109">
        <v>0.94937499999999997</v>
      </c>
      <c r="AD109">
        <v>2467.6751159999999</v>
      </c>
      <c r="AE109">
        <v>2467.6751159999999</v>
      </c>
      <c r="AG109">
        <v>0</v>
      </c>
      <c r="AH109">
        <v>108</v>
      </c>
    </row>
    <row r="110" spans="1:34" x14ac:dyDescent="0.25">
      <c r="A110" t="s">
        <v>768</v>
      </c>
      <c r="B110" t="s">
        <v>875</v>
      </c>
      <c r="D110" t="s">
        <v>770</v>
      </c>
      <c r="E110">
        <v>109</v>
      </c>
      <c r="H110">
        <v>12008</v>
      </c>
      <c r="I110">
        <v>2</v>
      </c>
      <c r="J110" t="s">
        <v>25</v>
      </c>
      <c r="K110">
        <v>150000</v>
      </c>
      <c r="L110" t="s">
        <v>78</v>
      </c>
      <c r="M110">
        <v>36</v>
      </c>
      <c r="N110">
        <v>1208</v>
      </c>
      <c r="O110">
        <v>12</v>
      </c>
      <c r="P110">
        <v>8</v>
      </c>
      <c r="Q110">
        <v>52</v>
      </c>
      <c r="R110">
        <v>20</v>
      </c>
      <c r="S110">
        <v>170</v>
      </c>
      <c r="T110">
        <v>218</v>
      </c>
      <c r="U110" s="1">
        <v>45491</v>
      </c>
      <c r="V110" s="1">
        <v>45524</v>
      </c>
      <c r="W110">
        <v>87314</v>
      </c>
      <c r="X110">
        <v>0.58355674700000004</v>
      </c>
      <c r="Y110">
        <v>379.50635640000002</v>
      </c>
      <c r="Z110">
        <f t="shared" si="9"/>
        <v>0.81677837350000004</v>
      </c>
      <c r="AA110">
        <f t="shared" si="10"/>
        <v>266.9022675831169</v>
      </c>
      <c r="AB110" cm="1">
        <f t="array" ref="AB110">_xlfn.IFS(X110&lt;0.6,T110,0.9&lt;X110,T110,X110,AA110)</f>
        <v>218</v>
      </c>
      <c r="AC110">
        <v>0.85424486099999997</v>
      </c>
      <c r="AD110">
        <v>324.17583550000001</v>
      </c>
      <c r="AE110">
        <v>218</v>
      </c>
      <c r="AG110">
        <v>0</v>
      </c>
      <c r="AH110">
        <v>109</v>
      </c>
    </row>
    <row r="111" spans="1:34" x14ac:dyDescent="0.25">
      <c r="A111" t="s">
        <v>768</v>
      </c>
      <c r="B111" t="s">
        <v>876</v>
      </c>
      <c r="D111" t="s">
        <v>770</v>
      </c>
      <c r="E111">
        <v>110</v>
      </c>
      <c r="H111">
        <v>11008</v>
      </c>
      <c r="I111">
        <v>2</v>
      </c>
      <c r="J111" t="s">
        <v>25</v>
      </c>
      <c r="K111">
        <v>150000</v>
      </c>
      <c r="L111" t="s">
        <v>74</v>
      </c>
      <c r="M111">
        <v>31</v>
      </c>
      <c r="N111">
        <v>1108</v>
      </c>
      <c r="O111">
        <v>11</v>
      </c>
      <c r="P111">
        <v>8</v>
      </c>
      <c r="Q111">
        <v>29</v>
      </c>
      <c r="R111">
        <v>22</v>
      </c>
      <c r="S111">
        <v>1489</v>
      </c>
      <c r="T111">
        <v>1864</v>
      </c>
      <c r="U111" s="1">
        <v>45492</v>
      </c>
      <c r="V111" s="1">
        <v>45534</v>
      </c>
      <c r="W111">
        <v>105965</v>
      </c>
      <c r="X111">
        <v>0.82531194299999999</v>
      </c>
      <c r="Y111">
        <v>2673.7885150000002</v>
      </c>
      <c r="Z111">
        <f t="shared" si="9"/>
        <v>0.93765597150000002</v>
      </c>
      <c r="AA111">
        <f t="shared" si="10"/>
        <v>1987.9359345604082</v>
      </c>
      <c r="AB111" cm="1">
        <f t="array" ref="AB111">_xlfn.IFS(X111&lt;0.6,T111,0.9&lt;X111,T111,X111,AA111)</f>
        <v>1987.9359345604082</v>
      </c>
      <c r="AC111">
        <v>0.93885918000000002</v>
      </c>
      <c r="AD111">
        <v>2339.689621</v>
      </c>
      <c r="AE111">
        <v>2339.689621</v>
      </c>
      <c r="AG111">
        <v>0</v>
      </c>
      <c r="AH111">
        <v>110</v>
      </c>
    </row>
    <row r="112" spans="1:34" x14ac:dyDescent="0.25">
      <c r="A112" t="s">
        <v>768</v>
      </c>
      <c r="B112" t="s">
        <v>877</v>
      </c>
      <c r="D112" t="s">
        <v>770</v>
      </c>
      <c r="E112">
        <v>111</v>
      </c>
      <c r="H112">
        <v>10008</v>
      </c>
      <c r="I112">
        <v>2</v>
      </c>
      <c r="J112" t="s">
        <v>25</v>
      </c>
      <c r="K112">
        <v>150000</v>
      </c>
      <c r="L112" t="s">
        <v>54</v>
      </c>
      <c r="M112">
        <v>40</v>
      </c>
      <c r="N112">
        <v>1008</v>
      </c>
      <c r="O112">
        <v>10</v>
      </c>
      <c r="P112">
        <v>8</v>
      </c>
      <c r="Q112">
        <v>63</v>
      </c>
      <c r="R112">
        <v>21.5</v>
      </c>
      <c r="S112">
        <v>830</v>
      </c>
      <c r="T112">
        <v>1045</v>
      </c>
      <c r="U112" s="1">
        <v>45492</v>
      </c>
      <c r="V112" s="1">
        <v>45528</v>
      </c>
      <c r="W112">
        <v>113643</v>
      </c>
      <c r="X112">
        <v>0.86940965999999997</v>
      </c>
      <c r="Y112">
        <v>1397.6919829999999</v>
      </c>
      <c r="Z112">
        <f t="shared" si="9"/>
        <v>0.95970482999999995</v>
      </c>
      <c r="AA112">
        <f t="shared" si="10"/>
        <v>1088.8764621513888</v>
      </c>
      <c r="AB112" cm="1">
        <f t="array" ref="AB112">_xlfn.IFS(X112&lt;0.6,T112,0.9&lt;X112,T112,X112,AA112)</f>
        <v>1088.8764621513888</v>
      </c>
      <c r="AC112">
        <v>0.95429338100000005</v>
      </c>
      <c r="AD112">
        <v>1253.1617819999999</v>
      </c>
      <c r="AE112">
        <v>1253.1617819999999</v>
      </c>
      <c r="AG112">
        <v>0</v>
      </c>
      <c r="AH112">
        <v>111</v>
      </c>
    </row>
    <row r="113" spans="1:34" x14ac:dyDescent="0.25">
      <c r="A113" t="s">
        <v>768</v>
      </c>
      <c r="B113" t="s">
        <v>878</v>
      </c>
      <c r="D113" t="s">
        <v>770</v>
      </c>
      <c r="E113">
        <v>112</v>
      </c>
      <c r="H113">
        <v>9008</v>
      </c>
      <c r="I113">
        <v>2</v>
      </c>
      <c r="J113" t="s">
        <v>25</v>
      </c>
      <c r="K113">
        <v>150000</v>
      </c>
      <c r="L113" t="s">
        <v>30</v>
      </c>
      <c r="M113">
        <v>45</v>
      </c>
      <c r="N113">
        <v>908</v>
      </c>
      <c r="O113">
        <v>9</v>
      </c>
      <c r="P113">
        <v>8</v>
      </c>
      <c r="Q113">
        <v>26</v>
      </c>
      <c r="R113">
        <v>20.9</v>
      </c>
      <c r="S113">
        <v>1506</v>
      </c>
      <c r="T113">
        <v>1911</v>
      </c>
      <c r="U113" s="1">
        <v>45497</v>
      </c>
      <c r="V113" s="1">
        <v>45532</v>
      </c>
      <c r="W113">
        <v>109320</v>
      </c>
      <c r="X113">
        <v>0.82872435300000002</v>
      </c>
      <c r="Y113">
        <v>2657.080132</v>
      </c>
      <c r="Z113">
        <f t="shared" si="9"/>
        <v>0.93936217649999998</v>
      </c>
      <c r="AA113">
        <f t="shared" si="10"/>
        <v>2034.3591085605096</v>
      </c>
      <c r="AB113" cm="1">
        <f t="array" ref="AB113">_xlfn.IFS(X113&lt;0.6,T113,0.9&lt;X113,T113,X113,AA113)</f>
        <v>2034.3591085605096</v>
      </c>
      <c r="AC113">
        <v>0.94005352399999997</v>
      </c>
      <c r="AD113">
        <v>2364.8796259999999</v>
      </c>
      <c r="AE113">
        <v>2364.8796259999999</v>
      </c>
      <c r="AG113">
        <v>0</v>
      </c>
      <c r="AH113">
        <v>112</v>
      </c>
    </row>
    <row r="114" spans="1:34" x14ac:dyDescent="0.25">
      <c r="A114" t="s">
        <v>768</v>
      </c>
      <c r="B114" t="s">
        <v>879</v>
      </c>
      <c r="D114" t="s">
        <v>770</v>
      </c>
      <c r="E114">
        <v>113</v>
      </c>
      <c r="H114">
        <v>8008</v>
      </c>
      <c r="I114">
        <v>2</v>
      </c>
      <c r="J114" t="s">
        <v>25</v>
      </c>
      <c r="K114">
        <v>150000</v>
      </c>
      <c r="L114" t="s">
        <v>80</v>
      </c>
      <c r="M114">
        <v>32</v>
      </c>
      <c r="N114">
        <v>808</v>
      </c>
      <c r="O114">
        <v>8</v>
      </c>
      <c r="P114">
        <v>8</v>
      </c>
      <c r="Q114">
        <v>36</v>
      </c>
      <c r="R114">
        <v>19.2</v>
      </c>
      <c r="S114">
        <v>1748</v>
      </c>
      <c r="T114">
        <v>2266</v>
      </c>
      <c r="U114" s="1">
        <v>45495</v>
      </c>
      <c r="V114" s="1">
        <v>45532</v>
      </c>
      <c r="W114">
        <v>115505</v>
      </c>
      <c r="X114">
        <v>0.88561215400000004</v>
      </c>
      <c r="Y114">
        <v>2981.9661489999999</v>
      </c>
      <c r="Z114">
        <f t="shared" si="9"/>
        <v>0.9678060770000001</v>
      </c>
      <c r="AA114">
        <f t="shared" si="10"/>
        <v>2341.3781478042938</v>
      </c>
      <c r="AB114" cm="1">
        <f t="array" ref="AB114">_xlfn.IFS(X114&lt;0.6,T114,0.9&lt;X114,T114,X114,AA114)</f>
        <v>2341.3781478042938</v>
      </c>
      <c r="AC114">
        <v>0.95996425399999996</v>
      </c>
      <c r="AD114">
        <v>2682.5419590000001</v>
      </c>
      <c r="AE114">
        <v>2682.5419590000001</v>
      </c>
      <c r="AG114">
        <v>0</v>
      </c>
      <c r="AH114">
        <v>113</v>
      </c>
    </row>
    <row r="115" spans="1:34" x14ac:dyDescent="0.25">
      <c r="A115" t="s">
        <v>768</v>
      </c>
      <c r="B115" t="s">
        <v>880</v>
      </c>
      <c r="D115" t="s">
        <v>770</v>
      </c>
      <c r="E115">
        <v>114</v>
      </c>
      <c r="H115">
        <v>7008</v>
      </c>
      <c r="I115">
        <v>2</v>
      </c>
      <c r="J115" t="s">
        <v>25</v>
      </c>
      <c r="K115">
        <v>150000</v>
      </c>
      <c r="L115" t="s">
        <v>46</v>
      </c>
      <c r="M115">
        <v>35</v>
      </c>
      <c r="N115">
        <v>708</v>
      </c>
      <c r="O115">
        <v>7</v>
      </c>
      <c r="P115">
        <v>8</v>
      </c>
      <c r="Q115">
        <v>61</v>
      </c>
      <c r="R115">
        <v>17.399999999999999</v>
      </c>
      <c r="S115">
        <v>1594</v>
      </c>
      <c r="T115">
        <v>2113</v>
      </c>
      <c r="U115" s="1">
        <v>45494</v>
      </c>
      <c r="V115" s="1">
        <v>45530</v>
      </c>
      <c r="W115">
        <v>112700</v>
      </c>
      <c r="X115">
        <v>0.88640429300000001</v>
      </c>
      <c r="Y115">
        <v>2849.85016</v>
      </c>
      <c r="Z115">
        <f t="shared" si="9"/>
        <v>0.96820214650000003</v>
      </c>
      <c r="AA115">
        <f t="shared" si="10"/>
        <v>2182.3954921380664</v>
      </c>
      <c r="AB115" cm="1">
        <f t="array" ref="AB115">_xlfn.IFS(X115&lt;0.6,T115,0.9&lt;X115,T115,X115,AA115)</f>
        <v>2182.3954921380664</v>
      </c>
      <c r="AC115">
        <v>0.960241503</v>
      </c>
      <c r="AD115">
        <v>2527.2015719999999</v>
      </c>
      <c r="AE115">
        <v>2527.2015719999999</v>
      </c>
      <c r="AG115">
        <v>0</v>
      </c>
      <c r="AH115">
        <v>114</v>
      </c>
    </row>
    <row r="116" spans="1:34" x14ac:dyDescent="0.25">
      <c r="A116" t="s">
        <v>768</v>
      </c>
      <c r="B116" s="2" t="s">
        <v>881</v>
      </c>
      <c r="D116" t="s">
        <v>770</v>
      </c>
      <c r="E116">
        <v>115</v>
      </c>
      <c r="H116">
        <v>6008</v>
      </c>
      <c r="I116">
        <v>2</v>
      </c>
      <c r="J116" t="s">
        <v>25</v>
      </c>
      <c r="K116">
        <v>150000</v>
      </c>
      <c r="L116" t="s">
        <v>62</v>
      </c>
      <c r="M116">
        <v>43</v>
      </c>
      <c r="N116">
        <v>608</v>
      </c>
      <c r="O116">
        <v>6</v>
      </c>
      <c r="P116">
        <v>8</v>
      </c>
      <c r="Q116">
        <v>25</v>
      </c>
      <c r="R116">
        <v>19.7</v>
      </c>
      <c r="S116">
        <v>2088</v>
      </c>
      <c r="T116">
        <v>2690</v>
      </c>
      <c r="U116" s="1">
        <v>45497</v>
      </c>
      <c r="V116" s="1">
        <v>45534</v>
      </c>
      <c r="W116">
        <v>103567</v>
      </c>
      <c r="X116">
        <v>0.798214286</v>
      </c>
      <c r="Y116">
        <v>3947.9757070000001</v>
      </c>
      <c r="Z116">
        <f t="shared" si="9"/>
        <v>0.92410714300000008</v>
      </c>
      <c r="AA116">
        <f t="shared" si="10"/>
        <v>2910.9178739461381</v>
      </c>
      <c r="AB116" cm="1">
        <f t="array" ref="AB116">_xlfn.IFS(X116&lt;0.6,T116,0.9&lt;X116,T116,X116,AA116)</f>
        <v>2910.9178739461381</v>
      </c>
      <c r="AC116">
        <v>0.92937499999999995</v>
      </c>
      <c r="AD116">
        <v>3442.9451399999998</v>
      </c>
      <c r="AE116">
        <v>3442.9451399999998</v>
      </c>
      <c r="AG116">
        <v>0</v>
      </c>
      <c r="AH116">
        <v>115</v>
      </c>
    </row>
    <row r="117" spans="1:34" x14ac:dyDescent="0.25">
      <c r="A117" t="s">
        <v>768</v>
      </c>
      <c r="B117" t="s">
        <v>882</v>
      </c>
      <c r="D117" t="s">
        <v>770</v>
      </c>
      <c r="E117">
        <v>116</v>
      </c>
      <c r="H117">
        <v>5008</v>
      </c>
      <c r="I117">
        <v>2</v>
      </c>
      <c r="J117" t="s">
        <v>25</v>
      </c>
      <c r="K117">
        <v>150000</v>
      </c>
      <c r="L117" t="s">
        <v>50</v>
      </c>
      <c r="M117">
        <v>34</v>
      </c>
      <c r="N117">
        <v>508</v>
      </c>
      <c r="O117">
        <v>5</v>
      </c>
      <c r="P117">
        <v>8</v>
      </c>
      <c r="Q117">
        <v>70</v>
      </c>
      <c r="R117">
        <v>22.8</v>
      </c>
      <c r="S117">
        <v>873</v>
      </c>
      <c r="T117">
        <v>1081</v>
      </c>
      <c r="U117" s="1">
        <v>45498</v>
      </c>
      <c r="W117">
        <v>110257</v>
      </c>
      <c r="X117">
        <v>0.85790884700000003</v>
      </c>
      <c r="Y117">
        <v>1490.263657</v>
      </c>
      <c r="Z117">
        <f t="shared" si="9"/>
        <v>0.95395442350000004</v>
      </c>
      <c r="AA117">
        <f t="shared" si="10"/>
        <v>1133.1778262884693</v>
      </c>
      <c r="AB117" cm="1">
        <f t="array" ref="AB117">_xlfn.IFS(X117&lt;0.6,T117,0.9&lt;X117,T117,X117,AA117)</f>
        <v>1133.1778262884693</v>
      </c>
      <c r="AC117">
        <v>0.95026809599999995</v>
      </c>
      <c r="AD117">
        <v>1318.639375</v>
      </c>
      <c r="AE117">
        <v>1318.639375</v>
      </c>
      <c r="AG117">
        <v>0</v>
      </c>
      <c r="AH117">
        <v>116</v>
      </c>
    </row>
    <row r="118" spans="1:34" x14ac:dyDescent="0.25">
      <c r="A118" t="s">
        <v>768</v>
      </c>
      <c r="B118" t="s">
        <v>883</v>
      </c>
      <c r="D118" t="s">
        <v>770</v>
      </c>
      <c r="E118">
        <v>117</v>
      </c>
      <c r="H118">
        <v>4008</v>
      </c>
      <c r="I118">
        <v>2</v>
      </c>
      <c r="J118" t="s">
        <v>25</v>
      </c>
      <c r="K118">
        <v>150000</v>
      </c>
      <c r="L118" t="s">
        <v>58</v>
      </c>
      <c r="M118">
        <v>39</v>
      </c>
      <c r="N118">
        <v>408</v>
      </c>
      <c r="O118">
        <v>4</v>
      </c>
      <c r="P118">
        <v>8</v>
      </c>
      <c r="Q118">
        <v>62</v>
      </c>
      <c r="R118">
        <v>21.3</v>
      </c>
      <c r="S118">
        <v>587</v>
      </c>
      <c r="T118">
        <v>741</v>
      </c>
      <c r="U118" s="1">
        <v>45490</v>
      </c>
      <c r="V118" s="1">
        <v>45524</v>
      </c>
      <c r="W118">
        <v>115137</v>
      </c>
      <c r="X118">
        <v>0.84252669000000002</v>
      </c>
      <c r="Y118">
        <v>978.23043849999999</v>
      </c>
      <c r="Z118">
        <f t="shared" si="9"/>
        <v>0.94626334499999998</v>
      </c>
      <c r="AA118">
        <f t="shared" si="10"/>
        <v>783.08010546472133</v>
      </c>
      <c r="AB118" cm="1">
        <f t="array" ref="AB118">_xlfn.IFS(X118&lt;0.6,T118,0.9&lt;X118,T118,X118,AA118)</f>
        <v>783.08010546472133</v>
      </c>
      <c r="AC118">
        <v>0.94488434200000004</v>
      </c>
      <c r="AD118">
        <v>892.43507790000001</v>
      </c>
      <c r="AE118">
        <v>892.43507790000001</v>
      </c>
      <c r="AG118">
        <v>0</v>
      </c>
      <c r="AH118">
        <v>117</v>
      </c>
    </row>
    <row r="119" spans="1:34" x14ac:dyDescent="0.25">
      <c r="A119" t="s">
        <v>768</v>
      </c>
      <c r="B119" t="s">
        <v>884</v>
      </c>
      <c r="D119" t="s">
        <v>770</v>
      </c>
      <c r="E119">
        <v>118</v>
      </c>
      <c r="H119">
        <v>3008</v>
      </c>
      <c r="I119">
        <v>2</v>
      </c>
      <c r="J119" t="s">
        <v>25</v>
      </c>
      <c r="K119">
        <v>150000</v>
      </c>
      <c r="L119" t="s">
        <v>66</v>
      </c>
      <c r="M119">
        <v>42</v>
      </c>
      <c r="N119">
        <v>308</v>
      </c>
      <c r="O119">
        <v>3</v>
      </c>
      <c r="P119">
        <v>8</v>
      </c>
      <c r="Q119">
        <v>76</v>
      </c>
      <c r="R119">
        <v>21.8</v>
      </c>
      <c r="S119">
        <v>790</v>
      </c>
      <c r="T119">
        <v>991</v>
      </c>
      <c r="U119" s="1">
        <v>45496</v>
      </c>
      <c r="V119" s="1">
        <v>45537</v>
      </c>
      <c r="W119">
        <v>113688</v>
      </c>
      <c r="X119">
        <v>0.85841495999999995</v>
      </c>
      <c r="Y119">
        <v>1324.9769719999999</v>
      </c>
      <c r="Z119">
        <f t="shared" si="9"/>
        <v>0.95420748</v>
      </c>
      <c r="AA119">
        <f t="shared" si="10"/>
        <v>1038.5581970076362</v>
      </c>
      <c r="AB119" cm="1">
        <f t="array" ref="AB119">_xlfn.IFS(X119&lt;0.6,T119,0.9&lt;X119,T119,X119,AA119)</f>
        <v>1038.5581970076362</v>
      </c>
      <c r="AC119">
        <v>0.95044523599999997</v>
      </c>
      <c r="AD119">
        <v>1193.028024</v>
      </c>
      <c r="AE119">
        <v>1193.028024</v>
      </c>
      <c r="AG119">
        <v>0</v>
      </c>
      <c r="AH119">
        <v>118</v>
      </c>
    </row>
    <row r="120" spans="1:34" x14ac:dyDescent="0.25">
      <c r="A120" t="s">
        <v>768</v>
      </c>
      <c r="B120" t="s">
        <v>885</v>
      </c>
      <c r="D120" t="s">
        <v>770</v>
      </c>
      <c r="E120">
        <v>119</v>
      </c>
      <c r="H120">
        <v>2008</v>
      </c>
      <c r="I120">
        <v>2</v>
      </c>
      <c r="J120" t="s">
        <v>25</v>
      </c>
      <c r="K120">
        <v>150000</v>
      </c>
      <c r="L120" t="s">
        <v>70</v>
      </c>
      <c r="M120">
        <v>37</v>
      </c>
      <c r="N120">
        <v>208</v>
      </c>
      <c r="O120">
        <v>2</v>
      </c>
      <c r="P120">
        <v>8</v>
      </c>
      <c r="Q120">
        <v>45</v>
      </c>
      <c r="R120">
        <v>18.600000000000001</v>
      </c>
      <c r="S120">
        <v>1280</v>
      </c>
      <c r="T120">
        <v>1672</v>
      </c>
      <c r="U120" s="1">
        <v>45497</v>
      </c>
      <c r="V120" s="1">
        <v>45534</v>
      </c>
      <c r="W120">
        <v>98089</v>
      </c>
      <c r="X120">
        <v>0.69079535299999995</v>
      </c>
      <c r="Y120">
        <v>2590.9701599999999</v>
      </c>
      <c r="Z120">
        <f t="shared" si="9"/>
        <v>0.87039767649999999</v>
      </c>
      <c r="AA120">
        <f t="shared" si="10"/>
        <v>1920.961010285969</v>
      </c>
      <c r="AB120" cm="1">
        <f t="array" ref="AB120">_xlfn.IFS(X120&lt;0.6,T120,0.9&lt;X120,T120,X120,AA120)</f>
        <v>1920.961010285969</v>
      </c>
      <c r="AC120">
        <v>0.89177837400000004</v>
      </c>
      <c r="AD120">
        <v>2279.079377</v>
      </c>
      <c r="AE120">
        <v>2279.079377</v>
      </c>
      <c r="AG120">
        <v>0</v>
      </c>
      <c r="AH120">
        <v>119</v>
      </c>
    </row>
    <row r="121" spans="1:34" x14ac:dyDescent="0.25">
      <c r="A121" t="s">
        <v>768</v>
      </c>
      <c r="B121" t="s">
        <v>886</v>
      </c>
      <c r="D121" t="s">
        <v>770</v>
      </c>
      <c r="E121">
        <v>120</v>
      </c>
      <c r="H121">
        <v>1008</v>
      </c>
      <c r="I121">
        <v>2</v>
      </c>
      <c r="J121" t="s">
        <v>25</v>
      </c>
      <c r="K121">
        <v>150000</v>
      </c>
      <c r="L121" t="s">
        <v>26</v>
      </c>
      <c r="M121">
        <v>38</v>
      </c>
      <c r="N121">
        <v>108</v>
      </c>
      <c r="O121">
        <v>1</v>
      </c>
      <c r="P121">
        <v>8</v>
      </c>
      <c r="Q121">
        <v>26</v>
      </c>
      <c r="R121">
        <v>17.600000000000001</v>
      </c>
      <c r="S121">
        <v>1773</v>
      </c>
      <c r="T121">
        <v>2344</v>
      </c>
      <c r="U121" s="1">
        <v>45496</v>
      </c>
      <c r="V121" s="1">
        <v>45536</v>
      </c>
      <c r="W121">
        <v>118323</v>
      </c>
      <c r="X121">
        <v>0.92685102600000002</v>
      </c>
      <c r="Y121">
        <v>3011.1276419999999</v>
      </c>
      <c r="Z121">
        <f t="shared" si="9"/>
        <v>0.98842551300000003</v>
      </c>
      <c r="AA121">
        <f t="shared" si="10"/>
        <v>2371.4482974904754</v>
      </c>
      <c r="AB121" cm="1">
        <f t="array" ref="AB121">_xlfn.IFS(X121&lt;0.6,T121,0.9&lt;X121,T121,X121,AA121)</f>
        <v>2344</v>
      </c>
      <c r="AC121">
        <v>0.97439785899999998</v>
      </c>
      <c r="AD121">
        <v>2705.2700260000001</v>
      </c>
      <c r="AE121">
        <v>2344</v>
      </c>
      <c r="AG121">
        <v>0</v>
      </c>
      <c r="AH121">
        <v>120</v>
      </c>
    </row>
    <row r="122" spans="1:34" x14ac:dyDescent="0.25">
      <c r="A122" t="s">
        <v>768</v>
      </c>
      <c r="B122" t="s">
        <v>887</v>
      </c>
      <c r="D122" t="s">
        <v>770</v>
      </c>
      <c r="E122">
        <v>121</v>
      </c>
      <c r="H122">
        <v>1009</v>
      </c>
      <c r="I122">
        <v>2</v>
      </c>
      <c r="J122" t="s">
        <v>25</v>
      </c>
      <c r="K122">
        <v>100000</v>
      </c>
      <c r="L122" t="s">
        <v>80</v>
      </c>
      <c r="M122">
        <v>17</v>
      </c>
      <c r="N122">
        <v>109</v>
      </c>
      <c r="O122">
        <v>1</v>
      </c>
      <c r="P122">
        <v>9</v>
      </c>
      <c r="Q122">
        <v>26</v>
      </c>
      <c r="R122">
        <v>21.4</v>
      </c>
      <c r="S122">
        <v>1941</v>
      </c>
      <c r="T122">
        <v>2448</v>
      </c>
      <c r="U122" s="1">
        <v>45496</v>
      </c>
      <c r="V122" s="1">
        <v>45536</v>
      </c>
      <c r="W122">
        <v>126236</v>
      </c>
      <c r="X122">
        <v>0.89830508499999995</v>
      </c>
      <c r="Y122">
        <v>2947.6413069999999</v>
      </c>
      <c r="Z122">
        <f t="shared" si="9"/>
        <v>0.97415254249999994</v>
      </c>
      <c r="AA122">
        <f t="shared" si="10"/>
        <v>2512.9534576973092</v>
      </c>
      <c r="AB122" cm="1">
        <f t="array" ref="AB122">_xlfn.IFS(X122&lt;0.6,T122,0.9&lt;X122,T122,X122,AA122)</f>
        <v>2512.9534576973092</v>
      </c>
      <c r="AC122">
        <v>0.96440678000000002</v>
      </c>
      <c r="AD122">
        <v>2773.4013169999998</v>
      </c>
      <c r="AE122">
        <v>2773.4013169999998</v>
      </c>
      <c r="AG122">
        <v>0</v>
      </c>
      <c r="AH122">
        <v>121</v>
      </c>
    </row>
    <row r="123" spans="1:34" x14ac:dyDescent="0.25">
      <c r="A123" t="s">
        <v>768</v>
      </c>
      <c r="B123" t="s">
        <v>888</v>
      </c>
      <c r="D123" t="s">
        <v>770</v>
      </c>
      <c r="E123">
        <v>122</v>
      </c>
      <c r="H123">
        <v>2009</v>
      </c>
      <c r="I123">
        <v>2</v>
      </c>
      <c r="J123" t="s">
        <v>25</v>
      </c>
      <c r="K123">
        <v>100000</v>
      </c>
      <c r="L123" t="s">
        <v>70</v>
      </c>
      <c r="M123">
        <v>22</v>
      </c>
      <c r="N123">
        <v>209</v>
      </c>
      <c r="O123">
        <v>2</v>
      </c>
      <c r="P123">
        <v>9</v>
      </c>
      <c r="Q123">
        <v>61</v>
      </c>
      <c r="R123">
        <v>18.600000000000001</v>
      </c>
      <c r="S123">
        <v>1334</v>
      </c>
      <c r="T123">
        <v>1742</v>
      </c>
      <c r="U123" s="1">
        <v>45494</v>
      </c>
      <c r="V123" s="1">
        <v>45534</v>
      </c>
      <c r="W123">
        <v>121060</v>
      </c>
      <c r="X123">
        <v>0.88057041000000003</v>
      </c>
      <c r="Y123">
        <v>2187.1697840000002</v>
      </c>
      <c r="Z123">
        <f t="shared" si="9"/>
        <v>0.96528520500000004</v>
      </c>
      <c r="AA123">
        <f t="shared" si="10"/>
        <v>1804.6479848409153</v>
      </c>
      <c r="AB123" cm="1">
        <f t="array" ref="AB123">_xlfn.IFS(X123&lt;0.6,T123,0.9&lt;X123,T123,X123,AA123)</f>
        <v>1804.6479848409153</v>
      </c>
      <c r="AC123">
        <v>0.95819964400000002</v>
      </c>
      <c r="AD123">
        <v>2023.9689390000001</v>
      </c>
      <c r="AE123">
        <v>2023.9689390000001</v>
      </c>
      <c r="AG123">
        <v>0</v>
      </c>
      <c r="AH123">
        <v>122</v>
      </c>
    </row>
    <row r="124" spans="1:34" x14ac:dyDescent="0.25">
      <c r="A124" t="s">
        <v>768</v>
      </c>
      <c r="B124" t="s">
        <v>889</v>
      </c>
      <c r="D124" t="s">
        <v>770</v>
      </c>
      <c r="E124">
        <v>123</v>
      </c>
      <c r="H124">
        <v>3009</v>
      </c>
      <c r="I124">
        <v>2</v>
      </c>
      <c r="J124" t="s">
        <v>25</v>
      </c>
      <c r="K124">
        <v>100000</v>
      </c>
      <c r="L124" t="s">
        <v>50</v>
      </c>
      <c r="M124">
        <v>19</v>
      </c>
      <c r="N124">
        <v>309</v>
      </c>
      <c r="O124">
        <v>3</v>
      </c>
      <c r="P124">
        <v>9</v>
      </c>
      <c r="Q124">
        <v>67</v>
      </c>
      <c r="R124">
        <v>20</v>
      </c>
      <c r="S124">
        <v>696</v>
      </c>
      <c r="T124">
        <v>893</v>
      </c>
      <c r="U124" s="1">
        <v>45496</v>
      </c>
      <c r="V124" s="1">
        <v>45537</v>
      </c>
      <c r="W124">
        <v>128183</v>
      </c>
      <c r="X124">
        <v>0.97853309499999996</v>
      </c>
      <c r="Y124">
        <v>1058.930537</v>
      </c>
      <c r="Z124">
        <f t="shared" si="9"/>
        <v>1.0142665475000001</v>
      </c>
      <c r="AA124">
        <f t="shared" si="10"/>
        <v>880.43917272150782</v>
      </c>
      <c r="AB124" cm="1">
        <f t="array" ref="AB124">_xlfn.IFS(X124&lt;0.6,T124,0.9&lt;X124,T124,X124,AA124)</f>
        <v>893</v>
      </c>
      <c r="AC124">
        <v>0.99248658300000003</v>
      </c>
      <c r="AD124">
        <v>976.24747609999997</v>
      </c>
      <c r="AE124">
        <v>893</v>
      </c>
      <c r="AG124">
        <v>0</v>
      </c>
      <c r="AH124">
        <v>123</v>
      </c>
    </row>
    <row r="125" spans="1:34" x14ac:dyDescent="0.25">
      <c r="A125" t="s">
        <v>768</v>
      </c>
      <c r="B125" t="s">
        <v>890</v>
      </c>
      <c r="D125" t="s">
        <v>770</v>
      </c>
      <c r="E125">
        <v>124</v>
      </c>
      <c r="H125">
        <v>4009</v>
      </c>
      <c r="I125">
        <v>2</v>
      </c>
      <c r="J125" t="s">
        <v>25</v>
      </c>
      <c r="K125">
        <v>100000</v>
      </c>
      <c r="L125" t="s">
        <v>66</v>
      </c>
      <c r="M125">
        <v>27</v>
      </c>
      <c r="N125">
        <v>409</v>
      </c>
      <c r="O125">
        <v>4</v>
      </c>
      <c r="P125">
        <v>9</v>
      </c>
      <c r="Q125">
        <v>217</v>
      </c>
      <c r="R125">
        <v>20.6</v>
      </c>
      <c r="S125">
        <v>775</v>
      </c>
      <c r="T125">
        <v>987</v>
      </c>
      <c r="U125" s="1">
        <v>45494</v>
      </c>
      <c r="V125" s="1">
        <v>45537</v>
      </c>
      <c r="W125">
        <v>124914</v>
      </c>
      <c r="X125">
        <v>0.93482142899999998</v>
      </c>
      <c r="Y125">
        <v>1201.0183010000001</v>
      </c>
      <c r="Z125">
        <f t="shared" si="9"/>
        <v>0.99241071450000007</v>
      </c>
      <c r="AA125">
        <f t="shared" si="10"/>
        <v>994.54790801737147</v>
      </c>
      <c r="AB125" cm="1">
        <f t="array" ref="AB125">_xlfn.IFS(X125&lt;0.6,T125,0.9&lt;X125,T125,X125,AA125)</f>
        <v>987</v>
      </c>
      <c r="AC125">
        <v>0.97718749999999999</v>
      </c>
      <c r="AD125">
        <v>1108.8375390000001</v>
      </c>
      <c r="AE125">
        <v>987</v>
      </c>
      <c r="AG125">
        <v>0</v>
      </c>
      <c r="AH125">
        <v>124</v>
      </c>
    </row>
    <row r="126" spans="1:34" x14ac:dyDescent="0.25">
      <c r="A126" t="s">
        <v>768</v>
      </c>
      <c r="B126" t="s">
        <v>891</v>
      </c>
      <c r="D126" t="s">
        <v>770</v>
      </c>
      <c r="E126">
        <v>125</v>
      </c>
      <c r="H126">
        <v>5009</v>
      </c>
      <c r="I126">
        <v>2</v>
      </c>
      <c r="J126" t="s">
        <v>25</v>
      </c>
      <c r="K126">
        <v>100000</v>
      </c>
      <c r="L126" t="s">
        <v>34</v>
      </c>
      <c r="M126">
        <v>26</v>
      </c>
      <c r="N126">
        <v>509</v>
      </c>
      <c r="O126">
        <v>5</v>
      </c>
      <c r="P126">
        <v>9</v>
      </c>
      <c r="Q126">
        <v>60</v>
      </c>
      <c r="R126">
        <v>20.8</v>
      </c>
      <c r="S126">
        <v>672</v>
      </c>
      <c r="T126">
        <v>854</v>
      </c>
      <c r="U126" s="1">
        <v>45492</v>
      </c>
      <c r="V126" s="1">
        <v>45523</v>
      </c>
      <c r="W126">
        <v>130871</v>
      </c>
      <c r="X126">
        <v>0.92576028600000004</v>
      </c>
      <c r="Y126">
        <v>991.8840232</v>
      </c>
      <c r="Z126">
        <f t="shared" si="9"/>
        <v>0.98788014300000004</v>
      </c>
      <c r="AA126">
        <f t="shared" si="10"/>
        <v>864.47734176189419</v>
      </c>
      <c r="AB126" cm="1">
        <f t="array" ref="AB126">_xlfn.IFS(X126&lt;0.6,T126,0.9&lt;X126,T126,X126,AA126)</f>
        <v>854</v>
      </c>
      <c r="AC126">
        <v>0.97401610000000005</v>
      </c>
      <c r="AD126">
        <v>942.2761845</v>
      </c>
      <c r="AE126">
        <v>854</v>
      </c>
      <c r="AG126">
        <v>0</v>
      </c>
      <c r="AH126">
        <v>125</v>
      </c>
    </row>
    <row r="127" spans="1:34" x14ac:dyDescent="0.25">
      <c r="A127" t="s">
        <v>768</v>
      </c>
      <c r="B127" t="s">
        <v>892</v>
      </c>
      <c r="D127" t="s">
        <v>770</v>
      </c>
      <c r="E127">
        <v>126</v>
      </c>
      <c r="H127">
        <v>6009</v>
      </c>
      <c r="I127">
        <v>2</v>
      </c>
      <c r="J127" t="s">
        <v>25</v>
      </c>
      <c r="K127">
        <v>100000</v>
      </c>
      <c r="L127" t="s">
        <v>78</v>
      </c>
      <c r="M127">
        <v>21</v>
      </c>
      <c r="N127">
        <v>609</v>
      </c>
      <c r="O127">
        <v>6</v>
      </c>
      <c r="P127">
        <v>9</v>
      </c>
      <c r="Q127">
        <v>53</v>
      </c>
      <c r="R127">
        <v>19.7</v>
      </c>
      <c r="S127">
        <v>845</v>
      </c>
      <c r="T127">
        <v>1089</v>
      </c>
      <c r="U127" s="1">
        <v>45492</v>
      </c>
      <c r="V127" s="1">
        <v>45525</v>
      </c>
      <c r="W127">
        <v>120335</v>
      </c>
      <c r="X127">
        <v>0.87867974999999998</v>
      </c>
      <c r="Y127">
        <v>1375.541796</v>
      </c>
      <c r="Z127">
        <f t="shared" si="9"/>
        <v>0.96433987500000007</v>
      </c>
      <c r="AA127">
        <f t="shared" si="10"/>
        <v>1129.2699060069458</v>
      </c>
      <c r="AB127" cm="1">
        <f t="array" ref="AB127">_xlfn.IFS(X127&lt;0.6,T127,0.9&lt;X127,T127,X127,AA127)</f>
        <v>1129.2699060069458</v>
      </c>
      <c r="AC127">
        <v>0.95753791300000002</v>
      </c>
      <c r="AD127">
        <v>1269.5198620000001</v>
      </c>
      <c r="AE127">
        <v>1269.5198620000001</v>
      </c>
      <c r="AG127">
        <v>0</v>
      </c>
      <c r="AH127">
        <v>126</v>
      </c>
    </row>
    <row r="128" spans="1:34" x14ac:dyDescent="0.25">
      <c r="A128" t="s">
        <v>768</v>
      </c>
      <c r="B128" t="s">
        <v>893</v>
      </c>
      <c r="D128" t="s">
        <v>770</v>
      </c>
      <c r="E128">
        <v>127</v>
      </c>
      <c r="H128">
        <v>7009</v>
      </c>
      <c r="I128">
        <v>2</v>
      </c>
      <c r="J128" t="s">
        <v>25</v>
      </c>
      <c r="K128">
        <v>100000</v>
      </c>
      <c r="L128" t="s">
        <v>38</v>
      </c>
      <c r="M128">
        <v>18</v>
      </c>
      <c r="N128">
        <v>709</v>
      </c>
      <c r="O128">
        <v>7</v>
      </c>
      <c r="P128">
        <v>9</v>
      </c>
      <c r="Q128">
        <v>39</v>
      </c>
      <c r="R128">
        <v>20.100000000000001</v>
      </c>
      <c r="S128">
        <v>2126</v>
      </c>
      <c r="T128">
        <v>2726</v>
      </c>
      <c r="U128" s="1">
        <v>45497</v>
      </c>
      <c r="V128" s="1">
        <v>45534</v>
      </c>
      <c r="W128">
        <v>126035</v>
      </c>
      <c r="X128">
        <v>0.91339285699999995</v>
      </c>
      <c r="Y128">
        <v>3287.6163449999999</v>
      </c>
      <c r="Z128">
        <f t="shared" si="9"/>
        <v>0.98169642850000005</v>
      </c>
      <c r="AA128">
        <f t="shared" si="10"/>
        <v>2776.8258301247347</v>
      </c>
      <c r="AB128" cm="1">
        <f t="array" ref="AB128">_xlfn.IFS(X128&lt;0.6,T128,0.9&lt;X128,T128,X128,AA128)</f>
        <v>2726</v>
      </c>
      <c r="AC128">
        <v>0.96968750000000004</v>
      </c>
      <c r="AD128">
        <v>3073.756523</v>
      </c>
      <c r="AE128">
        <v>2726</v>
      </c>
      <c r="AG128">
        <v>0</v>
      </c>
      <c r="AH128">
        <v>127</v>
      </c>
    </row>
    <row r="129" spans="1:34" x14ac:dyDescent="0.25">
      <c r="A129" t="s">
        <v>768</v>
      </c>
      <c r="B129" t="s">
        <v>894</v>
      </c>
      <c r="D129" t="s">
        <v>770</v>
      </c>
      <c r="E129">
        <v>128</v>
      </c>
      <c r="H129">
        <v>8009</v>
      </c>
      <c r="I129">
        <v>2</v>
      </c>
      <c r="J129" t="s">
        <v>25</v>
      </c>
      <c r="K129">
        <v>100000</v>
      </c>
      <c r="L129" t="s">
        <v>54</v>
      </c>
      <c r="M129">
        <v>25</v>
      </c>
      <c r="N129">
        <v>809</v>
      </c>
      <c r="O129">
        <v>8</v>
      </c>
      <c r="P129">
        <v>9</v>
      </c>
      <c r="Q129">
        <v>62</v>
      </c>
      <c r="R129">
        <v>20.6</v>
      </c>
      <c r="S129">
        <v>913</v>
      </c>
      <c r="T129">
        <v>1163</v>
      </c>
      <c r="U129" s="1">
        <v>45490</v>
      </c>
      <c r="V129" s="1">
        <v>45524</v>
      </c>
      <c r="W129">
        <v>134725</v>
      </c>
      <c r="X129">
        <v>0.97408400399999995</v>
      </c>
      <c r="Y129">
        <v>1312.133331</v>
      </c>
      <c r="Z129">
        <f t="shared" si="9"/>
        <v>1.0120420020000001</v>
      </c>
      <c r="AA129">
        <f t="shared" si="10"/>
        <v>1149.1617914095229</v>
      </c>
      <c r="AB129" cm="1">
        <f t="array" ref="AB129">_xlfn.IFS(X129&lt;0.6,T129,0.9&lt;X129,T129,X129,AA129)</f>
        <v>1163</v>
      </c>
      <c r="AC129">
        <v>0.99092940100000004</v>
      </c>
      <c r="AD129">
        <v>1244.360925</v>
      </c>
      <c r="AE129">
        <v>1163</v>
      </c>
      <c r="AG129">
        <v>0</v>
      </c>
      <c r="AH129">
        <v>128</v>
      </c>
    </row>
    <row r="130" spans="1:34" x14ac:dyDescent="0.25">
      <c r="A130" t="s">
        <v>768</v>
      </c>
      <c r="B130" t="s">
        <v>895</v>
      </c>
      <c r="D130" t="s">
        <v>770</v>
      </c>
      <c r="E130">
        <v>129</v>
      </c>
      <c r="H130">
        <v>9009</v>
      </c>
      <c r="I130">
        <v>2</v>
      </c>
      <c r="J130" t="s">
        <v>25</v>
      </c>
      <c r="K130">
        <v>100000</v>
      </c>
      <c r="L130" t="s">
        <v>74</v>
      </c>
      <c r="M130">
        <v>16</v>
      </c>
      <c r="N130">
        <v>909</v>
      </c>
      <c r="O130">
        <v>9</v>
      </c>
      <c r="P130">
        <v>9</v>
      </c>
      <c r="Q130">
        <v>52</v>
      </c>
      <c r="R130">
        <v>18.7</v>
      </c>
      <c r="S130">
        <v>1438</v>
      </c>
      <c r="T130">
        <v>1876</v>
      </c>
      <c r="U130" s="1">
        <v>45499</v>
      </c>
      <c r="V130" s="1">
        <v>45537</v>
      </c>
      <c r="W130">
        <v>124178</v>
      </c>
      <c r="X130">
        <v>0.94821428600000002</v>
      </c>
      <c r="Y130">
        <v>2296.3316850000001</v>
      </c>
      <c r="Z130">
        <f t="shared" si="9"/>
        <v>0.99910714300000003</v>
      </c>
      <c r="AA130">
        <f t="shared" si="10"/>
        <v>1877.6764966037281</v>
      </c>
      <c r="AB130" cm="1">
        <f t="array" ref="AB130">_xlfn.IFS(X130&lt;0.6,T130,0.9&lt;X130,T130,X130,AA130)</f>
        <v>1876</v>
      </c>
      <c r="AC130">
        <v>0.98187500000000005</v>
      </c>
      <c r="AD130">
        <v>2103.1120879999999</v>
      </c>
      <c r="AE130">
        <v>1876</v>
      </c>
      <c r="AG130">
        <v>0</v>
      </c>
      <c r="AH130">
        <v>129</v>
      </c>
    </row>
    <row r="131" spans="1:34" x14ac:dyDescent="0.25">
      <c r="A131" t="s">
        <v>768</v>
      </c>
      <c r="B131" t="s">
        <v>896</v>
      </c>
      <c r="D131" t="s">
        <v>770</v>
      </c>
      <c r="E131">
        <v>130</v>
      </c>
      <c r="H131">
        <v>10009</v>
      </c>
      <c r="I131">
        <v>2</v>
      </c>
      <c r="J131" t="s">
        <v>25</v>
      </c>
      <c r="K131">
        <v>100000</v>
      </c>
      <c r="L131" t="s">
        <v>42</v>
      </c>
      <c r="M131">
        <v>29</v>
      </c>
      <c r="N131">
        <v>1009</v>
      </c>
      <c r="O131">
        <v>10</v>
      </c>
      <c r="P131">
        <v>9</v>
      </c>
      <c r="Q131">
        <v>39</v>
      </c>
      <c r="R131">
        <v>20.5</v>
      </c>
      <c r="S131">
        <v>1540</v>
      </c>
      <c r="T131">
        <v>1965</v>
      </c>
      <c r="U131" s="1">
        <v>45493</v>
      </c>
      <c r="V131" s="1">
        <v>45530</v>
      </c>
      <c r="W131">
        <v>117433</v>
      </c>
      <c r="X131">
        <v>0.86898395699999997</v>
      </c>
      <c r="Y131">
        <v>2543.4244629999998</v>
      </c>
      <c r="Z131">
        <f t="shared" si="9"/>
        <v>0.95949197850000001</v>
      </c>
      <c r="AA131">
        <f t="shared" si="10"/>
        <v>2047.9587573748538</v>
      </c>
      <c r="AB131" cm="1">
        <f t="array" ref="AB131">_xlfn.IFS(X131&lt;0.6,T131,0.9&lt;X131,T131,X131,AA131)</f>
        <v>2047.9587573748538</v>
      </c>
      <c r="AC131">
        <v>0.95414438499999998</v>
      </c>
      <c r="AD131">
        <v>2323.6595499999999</v>
      </c>
      <c r="AE131">
        <v>2323.6595499999999</v>
      </c>
      <c r="AG131">
        <v>0</v>
      </c>
      <c r="AH131">
        <v>130</v>
      </c>
    </row>
    <row r="132" spans="1:34" x14ac:dyDescent="0.25">
      <c r="A132" t="s">
        <v>768</v>
      </c>
      <c r="B132" t="s">
        <v>897</v>
      </c>
      <c r="D132" t="s">
        <v>770</v>
      </c>
      <c r="E132">
        <v>131</v>
      </c>
      <c r="H132">
        <v>11009</v>
      </c>
      <c r="I132">
        <v>2</v>
      </c>
      <c r="J132" t="s">
        <v>25</v>
      </c>
      <c r="K132">
        <v>100000</v>
      </c>
      <c r="L132" t="s">
        <v>62</v>
      </c>
      <c r="M132">
        <v>28</v>
      </c>
      <c r="N132">
        <v>1109</v>
      </c>
      <c r="O132">
        <v>11</v>
      </c>
      <c r="P132">
        <v>9</v>
      </c>
      <c r="Q132">
        <v>26</v>
      </c>
      <c r="R132">
        <v>18.7</v>
      </c>
      <c r="S132">
        <v>1194</v>
      </c>
      <c r="T132">
        <v>1558</v>
      </c>
      <c r="U132" s="1">
        <v>45494</v>
      </c>
      <c r="V132" s="1">
        <v>45534</v>
      </c>
      <c r="W132">
        <v>121141</v>
      </c>
      <c r="X132">
        <v>0.81964285699999995</v>
      </c>
      <c r="Y132">
        <v>1954.904747</v>
      </c>
      <c r="Z132">
        <f t="shared" si="9"/>
        <v>0.93482142850000005</v>
      </c>
      <c r="AA132">
        <f t="shared" si="10"/>
        <v>1666.6284624005064</v>
      </c>
      <c r="AB132" cm="1">
        <f t="array" ref="AB132">_xlfn.IFS(X132&lt;0.6,T132,0.9&lt;X132,T132,X132,AA132)</f>
        <v>1666.6284624005064</v>
      </c>
      <c r="AC132">
        <v>0.93687500000000001</v>
      </c>
      <c r="AD132">
        <v>1850.8662059999999</v>
      </c>
      <c r="AE132">
        <v>1850.8662059999999</v>
      </c>
      <c r="AG132">
        <v>0</v>
      </c>
      <c r="AH132">
        <v>131</v>
      </c>
    </row>
    <row r="133" spans="1:34" x14ac:dyDescent="0.25">
      <c r="A133" t="s">
        <v>768</v>
      </c>
      <c r="B133" t="s">
        <v>898</v>
      </c>
      <c r="D133" t="s">
        <v>770</v>
      </c>
      <c r="E133">
        <v>132</v>
      </c>
      <c r="H133">
        <v>12009</v>
      </c>
      <c r="I133">
        <v>2</v>
      </c>
      <c r="J133" t="s">
        <v>25</v>
      </c>
      <c r="K133">
        <v>100000</v>
      </c>
      <c r="L133" t="s">
        <v>26</v>
      </c>
      <c r="M133">
        <v>23</v>
      </c>
      <c r="N133">
        <v>1209</v>
      </c>
      <c r="O133">
        <v>12</v>
      </c>
      <c r="P133">
        <v>9</v>
      </c>
      <c r="Q133">
        <v>24</v>
      </c>
      <c r="R133">
        <v>20.2</v>
      </c>
      <c r="S133">
        <v>1403</v>
      </c>
      <c r="T133">
        <v>1797</v>
      </c>
      <c r="U133" s="1">
        <v>45498</v>
      </c>
      <c r="V133" s="1">
        <v>45535</v>
      </c>
      <c r="W133">
        <v>115600</v>
      </c>
      <c r="X133">
        <v>0.84745762700000005</v>
      </c>
      <c r="Y133">
        <v>2362.8373700000002</v>
      </c>
      <c r="Z133">
        <f t="shared" si="9"/>
        <v>0.94872881350000005</v>
      </c>
      <c r="AA133">
        <f t="shared" si="10"/>
        <v>1894.1134436199982</v>
      </c>
      <c r="AB133" cm="1">
        <f t="array" ref="AB133">_xlfn.IFS(X133&lt;0.6,T133,0.9&lt;X133,T133,X133,AA133)</f>
        <v>1894.1134436199982</v>
      </c>
      <c r="AC133">
        <v>0.94661016899999995</v>
      </c>
      <c r="AD133">
        <v>2156.5741029999999</v>
      </c>
      <c r="AE133">
        <v>2156.5741029999999</v>
      </c>
      <c r="AG133">
        <v>0</v>
      </c>
      <c r="AH133">
        <v>132</v>
      </c>
    </row>
    <row r="134" spans="1:34" x14ac:dyDescent="0.25">
      <c r="A134" t="s">
        <v>768</v>
      </c>
      <c r="B134" t="s">
        <v>899</v>
      </c>
      <c r="D134" t="s">
        <v>770</v>
      </c>
      <c r="E134">
        <v>133</v>
      </c>
      <c r="H134">
        <v>13009</v>
      </c>
      <c r="I134">
        <v>2</v>
      </c>
      <c r="J134" t="s">
        <v>25</v>
      </c>
      <c r="K134">
        <v>100000</v>
      </c>
      <c r="L134" t="s">
        <v>30</v>
      </c>
      <c r="M134">
        <v>30</v>
      </c>
      <c r="N134">
        <v>1309</v>
      </c>
      <c r="O134">
        <v>13</v>
      </c>
      <c r="P134">
        <v>9</v>
      </c>
      <c r="Q134">
        <v>50</v>
      </c>
      <c r="R134">
        <v>18.8</v>
      </c>
      <c r="S134">
        <v>1451</v>
      </c>
      <c r="T134">
        <v>1891</v>
      </c>
      <c r="U134" s="1">
        <v>45496</v>
      </c>
      <c r="V134" s="1">
        <v>45534</v>
      </c>
      <c r="W134">
        <v>108943</v>
      </c>
      <c r="X134">
        <v>0.69677996399999997</v>
      </c>
      <c r="Y134">
        <v>2638.3184510000001</v>
      </c>
      <c r="Z134">
        <f t="shared" si="9"/>
        <v>0.87338998199999995</v>
      </c>
      <c r="AA134">
        <f t="shared" si="10"/>
        <v>2165.126734874777</v>
      </c>
      <c r="AB134" cm="1">
        <f t="array" ref="AB134">_xlfn.IFS(X134&lt;0.6,T134,0.9&lt;X134,T134,X134,AA134)</f>
        <v>2165.126734874777</v>
      </c>
      <c r="AC134">
        <v>0.89387298699999995</v>
      </c>
      <c r="AD134">
        <v>2464.5638250000002</v>
      </c>
      <c r="AE134">
        <v>2464.5638250000002</v>
      </c>
      <c r="AG134">
        <v>0</v>
      </c>
      <c r="AH134">
        <v>133</v>
      </c>
    </row>
    <row r="135" spans="1:34" x14ac:dyDescent="0.25">
      <c r="A135" t="s">
        <v>768</v>
      </c>
      <c r="B135" t="s">
        <v>900</v>
      </c>
      <c r="D135" t="s">
        <v>770</v>
      </c>
      <c r="E135">
        <v>134</v>
      </c>
      <c r="H135">
        <v>14009</v>
      </c>
      <c r="I135">
        <v>2</v>
      </c>
      <c r="J135" t="s">
        <v>25</v>
      </c>
      <c r="K135">
        <v>100000</v>
      </c>
      <c r="L135" t="s">
        <v>46</v>
      </c>
      <c r="M135">
        <v>20</v>
      </c>
      <c r="N135">
        <v>1409</v>
      </c>
      <c r="O135">
        <v>14</v>
      </c>
      <c r="P135">
        <v>9</v>
      </c>
      <c r="Q135">
        <v>29</v>
      </c>
      <c r="R135">
        <v>19.600000000000001</v>
      </c>
      <c r="S135">
        <v>1786</v>
      </c>
      <c r="T135">
        <v>2304</v>
      </c>
      <c r="U135" s="1">
        <v>45495</v>
      </c>
      <c r="V135" s="1">
        <v>45532</v>
      </c>
      <c r="W135">
        <v>131040</v>
      </c>
      <c r="X135">
        <v>0.99285076000000005</v>
      </c>
      <c r="Y135">
        <v>2672.5274730000001</v>
      </c>
      <c r="Z135">
        <f t="shared" si="9"/>
        <v>1.0214253800000002</v>
      </c>
      <c r="AA135">
        <f t="shared" si="10"/>
        <v>2255.6713834543643</v>
      </c>
      <c r="AB135" cm="1">
        <f t="array" ref="AB135">_xlfn.IFS(X135&lt;0.6,T135,0.9&lt;X135,T135,X135,AA135)</f>
        <v>2304</v>
      </c>
      <c r="AC135">
        <v>0.99749776599999995</v>
      </c>
      <c r="AD135">
        <v>2480.8260359999999</v>
      </c>
      <c r="AE135">
        <v>2304</v>
      </c>
      <c r="AG135">
        <v>0</v>
      </c>
      <c r="AH135">
        <v>134</v>
      </c>
    </row>
    <row r="136" spans="1:34" x14ac:dyDescent="0.25">
      <c r="A136" t="s">
        <v>768</v>
      </c>
      <c r="B136" t="s">
        <v>901</v>
      </c>
      <c r="D136" t="s">
        <v>770</v>
      </c>
      <c r="E136">
        <v>135</v>
      </c>
      <c r="H136">
        <v>15009</v>
      </c>
      <c r="I136">
        <v>2</v>
      </c>
      <c r="J136" t="s">
        <v>25</v>
      </c>
      <c r="K136">
        <v>100000</v>
      </c>
      <c r="L136" t="s">
        <v>58</v>
      </c>
      <c r="M136">
        <v>24</v>
      </c>
      <c r="N136">
        <v>1509</v>
      </c>
      <c r="O136">
        <v>15</v>
      </c>
      <c r="P136">
        <v>9</v>
      </c>
      <c r="Q136">
        <v>81</v>
      </c>
      <c r="R136">
        <v>18.8</v>
      </c>
      <c r="S136">
        <v>556</v>
      </c>
      <c r="T136">
        <v>724</v>
      </c>
      <c r="U136" s="1">
        <v>45490</v>
      </c>
      <c r="V136" s="1">
        <v>45524</v>
      </c>
      <c r="W136">
        <v>127391</v>
      </c>
      <c r="X136">
        <v>0.97857142900000005</v>
      </c>
      <c r="Y136">
        <v>863.84303439999996</v>
      </c>
      <c r="Z136">
        <f t="shared" si="9"/>
        <v>1.0142857145000002</v>
      </c>
      <c r="AA136">
        <f t="shared" si="10"/>
        <v>713.80281675060496</v>
      </c>
      <c r="AB136" cm="1">
        <f t="array" ref="AB136">_xlfn.IFS(X136&lt;0.6,T136,0.9&lt;X136,T136,X136,AA136)</f>
        <v>724</v>
      </c>
      <c r="AC136">
        <v>0.99250000000000005</v>
      </c>
      <c r="AD136">
        <v>793.71632669999997</v>
      </c>
      <c r="AE136">
        <v>724</v>
      </c>
      <c r="AG136">
        <v>0</v>
      </c>
      <c r="AH136">
        <v>135</v>
      </c>
    </row>
    <row r="137" spans="1:34" x14ac:dyDescent="0.25">
      <c r="A137" t="s">
        <v>768</v>
      </c>
      <c r="B137" t="s">
        <v>902</v>
      </c>
      <c r="D137" t="s">
        <v>770</v>
      </c>
      <c r="E137">
        <v>136</v>
      </c>
      <c r="H137">
        <v>15010</v>
      </c>
      <c r="I137">
        <v>2</v>
      </c>
      <c r="J137" t="s">
        <v>771</v>
      </c>
      <c r="K137">
        <v>100000</v>
      </c>
      <c r="L137" t="s">
        <v>78</v>
      </c>
      <c r="M137">
        <v>66</v>
      </c>
      <c r="N137">
        <v>1510</v>
      </c>
      <c r="O137">
        <v>15</v>
      </c>
      <c r="P137">
        <v>10</v>
      </c>
      <c r="Q137">
        <v>54</v>
      </c>
      <c r="R137">
        <v>19</v>
      </c>
      <c r="S137">
        <v>1038</v>
      </c>
      <c r="T137">
        <v>1349</v>
      </c>
      <c r="U137" s="1">
        <v>45491</v>
      </c>
      <c r="V137" s="1">
        <v>45526</v>
      </c>
      <c r="W137">
        <v>144974</v>
      </c>
      <c r="X137">
        <v>0.95377004099999996</v>
      </c>
      <c r="Y137">
        <v>1414.387056</v>
      </c>
      <c r="Z137">
        <f t="shared" si="9"/>
        <v>1.0018850205000001</v>
      </c>
      <c r="AA137">
        <f t="shared" si="10"/>
        <v>1346.461891731617</v>
      </c>
      <c r="AB137" cm="1">
        <f t="array" ref="AB137">_xlfn.IFS(X137&lt;0.6,T137,0.9&lt;X137,T137,X137,AA137)</f>
        <v>1349</v>
      </c>
      <c r="AC137">
        <v>0.98381951400000001</v>
      </c>
      <c r="AD137">
        <v>1403.6313729999999</v>
      </c>
      <c r="AE137">
        <v>1349</v>
      </c>
      <c r="AG137">
        <v>0</v>
      </c>
      <c r="AH137">
        <v>136</v>
      </c>
    </row>
    <row r="138" spans="1:34" x14ac:dyDescent="0.25">
      <c r="A138" t="s">
        <v>768</v>
      </c>
      <c r="B138" t="s">
        <v>903</v>
      </c>
      <c r="D138" t="s">
        <v>770</v>
      </c>
      <c r="E138">
        <v>137</v>
      </c>
      <c r="H138">
        <v>14010</v>
      </c>
      <c r="I138">
        <v>2</v>
      </c>
      <c r="J138" t="s">
        <v>771</v>
      </c>
      <c r="K138">
        <v>100000</v>
      </c>
      <c r="L138" t="s">
        <v>26</v>
      </c>
      <c r="M138">
        <v>68</v>
      </c>
      <c r="N138">
        <v>1410</v>
      </c>
      <c r="O138">
        <v>14</v>
      </c>
      <c r="P138">
        <v>10</v>
      </c>
      <c r="Q138">
        <v>35</v>
      </c>
      <c r="R138">
        <v>19.5</v>
      </c>
      <c r="S138">
        <v>1810</v>
      </c>
      <c r="T138">
        <v>2338</v>
      </c>
      <c r="U138" s="1">
        <v>45499</v>
      </c>
      <c r="V138" s="1">
        <v>45534</v>
      </c>
      <c r="W138">
        <v>137983</v>
      </c>
      <c r="X138">
        <v>0.90777692300000001</v>
      </c>
      <c r="Y138">
        <v>2575.522622</v>
      </c>
      <c r="Z138">
        <f t="shared" si="9"/>
        <v>0.97888846149999997</v>
      </c>
      <c r="AA138">
        <f t="shared" si="10"/>
        <v>2388.4232902463323</v>
      </c>
      <c r="AB138" cm="1">
        <f t="array" ref="AB138">_xlfn.IFS(X138&lt;0.6,T138,0.9&lt;X138,T138,X138,AA138)</f>
        <v>2338</v>
      </c>
      <c r="AC138">
        <v>0.96772192300000004</v>
      </c>
      <c r="AD138">
        <v>2532.7733720000001</v>
      </c>
      <c r="AE138">
        <v>2338</v>
      </c>
      <c r="AG138">
        <v>0</v>
      </c>
      <c r="AH138">
        <v>137</v>
      </c>
    </row>
    <row r="139" spans="1:34" x14ac:dyDescent="0.25">
      <c r="A139" t="s">
        <v>768</v>
      </c>
      <c r="B139" t="s">
        <v>904</v>
      </c>
      <c r="D139" t="s">
        <v>770</v>
      </c>
      <c r="E139">
        <v>138</v>
      </c>
      <c r="H139">
        <v>13010</v>
      </c>
      <c r="I139">
        <v>2</v>
      </c>
      <c r="J139" t="s">
        <v>771</v>
      </c>
      <c r="K139">
        <v>100000</v>
      </c>
      <c r="L139" t="s">
        <v>46</v>
      </c>
      <c r="M139">
        <v>65</v>
      </c>
      <c r="N139">
        <v>1310</v>
      </c>
      <c r="O139">
        <v>13</v>
      </c>
      <c r="P139">
        <v>10</v>
      </c>
      <c r="Q139">
        <v>27</v>
      </c>
      <c r="R139">
        <v>18.899999999999999</v>
      </c>
      <c r="S139">
        <v>2265</v>
      </c>
      <c r="T139">
        <v>2948</v>
      </c>
      <c r="U139" s="1">
        <v>45497</v>
      </c>
      <c r="V139" s="1">
        <v>45530</v>
      </c>
      <c r="W139">
        <v>150589</v>
      </c>
      <c r="X139">
        <v>0.99071058700000003</v>
      </c>
      <c r="Y139">
        <v>2975.6419660000001</v>
      </c>
      <c r="Z139">
        <f t="shared" si="9"/>
        <v>1.0203552935</v>
      </c>
      <c r="AA139">
        <f t="shared" si="10"/>
        <v>2889.1896957655172</v>
      </c>
      <c r="AB139" cm="1">
        <f t="array" ref="AB139">_xlfn.IFS(X139&lt;0.6,T139,0.9&lt;X139,T139,X139,AA139)</f>
        <v>2948</v>
      </c>
      <c r="AC139">
        <v>0.99674870500000001</v>
      </c>
      <c r="AD139">
        <v>2971.4174429999998</v>
      </c>
      <c r="AE139">
        <v>2948</v>
      </c>
      <c r="AG139">
        <v>0</v>
      </c>
      <c r="AH139">
        <v>138</v>
      </c>
    </row>
    <row r="140" spans="1:34" x14ac:dyDescent="0.25">
      <c r="A140" t="s">
        <v>768</v>
      </c>
      <c r="B140" t="s">
        <v>905</v>
      </c>
      <c r="D140" t="s">
        <v>770</v>
      </c>
      <c r="E140">
        <v>139</v>
      </c>
      <c r="H140">
        <v>12010</v>
      </c>
      <c r="I140">
        <v>2</v>
      </c>
      <c r="J140" t="s">
        <v>771</v>
      </c>
      <c r="K140">
        <v>100000</v>
      </c>
      <c r="L140" t="s">
        <v>34</v>
      </c>
      <c r="M140">
        <v>71</v>
      </c>
      <c r="N140">
        <v>1210</v>
      </c>
      <c r="O140">
        <v>12</v>
      </c>
      <c r="P140">
        <v>10</v>
      </c>
      <c r="Q140">
        <v>74</v>
      </c>
      <c r="R140">
        <v>21.2</v>
      </c>
      <c r="S140">
        <v>738</v>
      </c>
      <c r="T140">
        <v>933</v>
      </c>
      <c r="U140" s="1">
        <v>45491</v>
      </c>
      <c r="V140" s="1">
        <v>45527</v>
      </c>
      <c r="W140">
        <v>148267</v>
      </c>
      <c r="X140">
        <v>0.97544720699999998</v>
      </c>
      <c r="Y140">
        <v>956.48436270000002</v>
      </c>
      <c r="Z140">
        <f t="shared" si="9"/>
        <v>1.0127236035</v>
      </c>
      <c r="AA140">
        <f t="shared" si="10"/>
        <v>921.27802371301198</v>
      </c>
      <c r="AB140" cm="1">
        <f t="array" ref="AB140">_xlfn.IFS(X140&lt;0.6,T140,0.9&lt;X140,T140,X140,AA140)</f>
        <v>933</v>
      </c>
      <c r="AC140">
        <v>0.99140652200000001</v>
      </c>
      <c r="AD140">
        <v>952.78396550000002</v>
      </c>
      <c r="AE140">
        <v>933</v>
      </c>
      <c r="AG140">
        <v>0</v>
      </c>
      <c r="AH140">
        <v>139</v>
      </c>
    </row>
    <row r="141" spans="1:34" x14ac:dyDescent="0.25">
      <c r="A141" t="s">
        <v>768</v>
      </c>
      <c r="B141" t="s">
        <v>906</v>
      </c>
      <c r="D141" t="s">
        <v>770</v>
      </c>
      <c r="E141">
        <v>140</v>
      </c>
      <c r="H141">
        <v>11010</v>
      </c>
      <c r="I141">
        <v>2</v>
      </c>
      <c r="J141" t="s">
        <v>771</v>
      </c>
      <c r="K141">
        <v>100000</v>
      </c>
      <c r="L141" t="s">
        <v>30</v>
      </c>
      <c r="M141">
        <v>75</v>
      </c>
      <c r="N141">
        <v>1110</v>
      </c>
      <c r="O141">
        <v>11</v>
      </c>
      <c r="P141">
        <v>10</v>
      </c>
      <c r="Q141">
        <v>25</v>
      </c>
      <c r="R141">
        <v>18.399999999999999</v>
      </c>
      <c r="S141">
        <v>1570</v>
      </c>
      <c r="T141">
        <v>2056</v>
      </c>
      <c r="U141" s="1">
        <v>45496</v>
      </c>
      <c r="V141" s="1">
        <v>45534</v>
      </c>
      <c r="W141">
        <v>138591</v>
      </c>
      <c r="X141">
        <v>0.91179489199999997</v>
      </c>
      <c r="Y141">
        <v>2254.8930879999998</v>
      </c>
      <c r="Z141">
        <f t="shared" si="9"/>
        <v>0.98089744599999995</v>
      </c>
      <c r="AA141">
        <f t="shared" si="10"/>
        <v>2096.03971178043</v>
      </c>
      <c r="AB141" cm="1">
        <f t="array" ref="AB141">_xlfn.IFS(X141&lt;0.6,T141,0.9&lt;X141,T141,X141,AA141)</f>
        <v>2056</v>
      </c>
      <c r="AC141">
        <v>0.96912821199999999</v>
      </c>
      <c r="AD141">
        <v>2219.3744019999999</v>
      </c>
      <c r="AE141">
        <v>2056</v>
      </c>
      <c r="AG141">
        <v>0</v>
      </c>
      <c r="AH141">
        <v>140</v>
      </c>
    </row>
    <row r="142" spans="1:34" x14ac:dyDescent="0.25">
      <c r="A142" t="s">
        <v>768</v>
      </c>
      <c r="B142" t="s">
        <v>907</v>
      </c>
      <c r="D142" t="s">
        <v>770</v>
      </c>
      <c r="E142">
        <v>141</v>
      </c>
      <c r="H142">
        <v>10010</v>
      </c>
      <c r="I142">
        <v>2</v>
      </c>
      <c r="J142" t="s">
        <v>771</v>
      </c>
      <c r="K142">
        <v>100000</v>
      </c>
      <c r="L142" t="s">
        <v>66</v>
      </c>
      <c r="M142">
        <v>72</v>
      </c>
      <c r="N142">
        <v>1010</v>
      </c>
      <c r="O142">
        <v>10</v>
      </c>
      <c r="P142">
        <v>10</v>
      </c>
      <c r="Q142">
        <v>82</v>
      </c>
      <c r="R142">
        <v>21.9</v>
      </c>
      <c r="S142">
        <v>956</v>
      </c>
      <c r="T142">
        <v>1198</v>
      </c>
      <c r="U142" s="1">
        <v>45496</v>
      </c>
      <c r="W142">
        <v>149063</v>
      </c>
      <c r="X142">
        <v>0.98067763200000002</v>
      </c>
      <c r="Y142">
        <v>1221.604288</v>
      </c>
      <c r="Z142">
        <f t="shared" si="9"/>
        <v>1.0153388160000001</v>
      </c>
      <c r="AA142">
        <f t="shared" si="10"/>
        <v>1179.901704851201</v>
      </c>
      <c r="AB142" cm="1">
        <f t="array" ref="AB142">_xlfn.IFS(X142&lt;0.6,T142,0.9&lt;X142,T142,X142,AA142)</f>
        <v>1198</v>
      </c>
      <c r="AC142">
        <v>0.99323717099999997</v>
      </c>
      <c r="AD142">
        <v>1217.923618</v>
      </c>
      <c r="AE142">
        <v>1198</v>
      </c>
      <c r="AG142">
        <v>0</v>
      </c>
      <c r="AH142">
        <v>141</v>
      </c>
    </row>
    <row r="143" spans="1:34" x14ac:dyDescent="0.25">
      <c r="A143" t="s">
        <v>768</v>
      </c>
      <c r="B143" t="s">
        <v>908</v>
      </c>
      <c r="D143" t="s">
        <v>770</v>
      </c>
      <c r="E143">
        <v>142</v>
      </c>
      <c r="H143">
        <v>9010</v>
      </c>
      <c r="I143">
        <v>2</v>
      </c>
      <c r="J143" t="s">
        <v>771</v>
      </c>
      <c r="K143">
        <v>100000</v>
      </c>
      <c r="L143" t="s">
        <v>70</v>
      </c>
      <c r="M143">
        <v>67</v>
      </c>
      <c r="N143">
        <v>910</v>
      </c>
      <c r="O143">
        <v>9</v>
      </c>
      <c r="P143">
        <v>10</v>
      </c>
      <c r="Q143">
        <v>0</v>
      </c>
      <c r="R143">
        <v>19.2</v>
      </c>
      <c r="S143">
        <v>1600</v>
      </c>
      <c r="T143">
        <v>2074</v>
      </c>
      <c r="U143" s="1">
        <v>45498</v>
      </c>
      <c r="V143" s="1">
        <v>45537</v>
      </c>
      <c r="W143">
        <v>136658</v>
      </c>
      <c r="X143">
        <v>0.899065789</v>
      </c>
      <c r="Y143">
        <v>2306.8389699999998</v>
      </c>
      <c r="Z143">
        <f t="shared" si="9"/>
        <v>0.97453289450000002</v>
      </c>
      <c r="AA143">
        <f t="shared" si="10"/>
        <v>2128.1990702469816</v>
      </c>
      <c r="AB143" cm="1">
        <f t="array" ref="AB143">_xlfn.IFS(X143&lt;0.6,T143,0.9&lt;X143,T143,X143,AA143)</f>
        <v>2128.1990702469816</v>
      </c>
      <c r="AC143">
        <v>0.96467302600000004</v>
      </c>
      <c r="AD143">
        <v>2264.2198969999999</v>
      </c>
      <c r="AE143">
        <v>2264.2198969999999</v>
      </c>
      <c r="AG143">
        <v>0</v>
      </c>
      <c r="AH143">
        <v>142</v>
      </c>
    </row>
    <row r="144" spans="1:34" x14ac:dyDescent="0.25">
      <c r="A144" t="s">
        <v>768</v>
      </c>
      <c r="B144" t="s">
        <v>909</v>
      </c>
      <c r="D144" t="s">
        <v>770</v>
      </c>
      <c r="E144">
        <v>143</v>
      </c>
      <c r="H144">
        <v>8010</v>
      </c>
      <c r="I144">
        <v>2</v>
      </c>
      <c r="J144" t="s">
        <v>771</v>
      </c>
      <c r="K144">
        <v>100000</v>
      </c>
      <c r="L144" t="s">
        <v>50</v>
      </c>
      <c r="M144">
        <v>64</v>
      </c>
      <c r="N144">
        <v>810</v>
      </c>
      <c r="O144">
        <v>8</v>
      </c>
      <c r="P144">
        <v>10</v>
      </c>
      <c r="Q144">
        <v>63</v>
      </c>
      <c r="R144">
        <v>20.399999999999999</v>
      </c>
      <c r="S144">
        <v>1000</v>
      </c>
      <c r="T144">
        <v>1277</v>
      </c>
      <c r="U144" s="1">
        <v>45496</v>
      </c>
      <c r="W144">
        <v>139923</v>
      </c>
      <c r="X144">
        <v>0.92055816499999998</v>
      </c>
      <c r="Y144">
        <v>1387.201861</v>
      </c>
      <c r="Z144">
        <f t="shared" si="9"/>
        <v>0.98527908249999996</v>
      </c>
      <c r="AA144">
        <f t="shared" si="10"/>
        <v>1296.0794790850541</v>
      </c>
      <c r="AB144" cm="1">
        <f t="array" ref="AB144">_xlfn.IFS(X144&lt;0.6,T144,0.9&lt;X144,T144,X144,AA144)</f>
        <v>1277</v>
      </c>
      <c r="AC144">
        <v>0.97219535800000001</v>
      </c>
      <c r="AD144">
        <v>1367.8544429999999</v>
      </c>
      <c r="AE144">
        <v>1277</v>
      </c>
      <c r="AG144">
        <v>0</v>
      </c>
      <c r="AH144">
        <v>143</v>
      </c>
    </row>
    <row r="145" spans="1:34" x14ac:dyDescent="0.25">
      <c r="A145" t="s">
        <v>768</v>
      </c>
      <c r="B145" s="2" t="s">
        <v>910</v>
      </c>
      <c r="D145" t="s">
        <v>770</v>
      </c>
      <c r="E145">
        <v>144</v>
      </c>
      <c r="H145">
        <v>7010</v>
      </c>
      <c r="I145">
        <v>2</v>
      </c>
      <c r="J145" t="s">
        <v>771</v>
      </c>
      <c r="K145">
        <v>100000</v>
      </c>
      <c r="L145" t="s">
        <v>42</v>
      </c>
      <c r="M145">
        <v>74</v>
      </c>
      <c r="N145">
        <v>710</v>
      </c>
      <c r="O145">
        <v>7</v>
      </c>
      <c r="P145">
        <v>10</v>
      </c>
      <c r="Q145">
        <v>41</v>
      </c>
      <c r="R145">
        <v>19.100000000000001</v>
      </c>
      <c r="S145">
        <v>1573</v>
      </c>
      <c r="T145">
        <v>2042</v>
      </c>
      <c r="U145" s="1">
        <v>45494</v>
      </c>
      <c r="V145" s="1">
        <v>45528</v>
      </c>
      <c r="W145">
        <v>151444</v>
      </c>
      <c r="X145">
        <v>0.99633554999999996</v>
      </c>
      <c r="Y145">
        <v>2049.510327</v>
      </c>
      <c r="Z145">
        <f t="shared" si="9"/>
        <v>1.0231677750000001</v>
      </c>
      <c r="AA145">
        <f t="shared" si="10"/>
        <v>1995.7626206513391</v>
      </c>
      <c r="AB145" cm="1">
        <f t="array" ref="AB145">_xlfn.IFS(X145&lt;0.6,T145,0.9&lt;X145,T145,X145,AA145)</f>
        <v>2042</v>
      </c>
      <c r="AC145">
        <v>0.99871744299999998</v>
      </c>
      <c r="AD145">
        <v>2048.3754300000001</v>
      </c>
      <c r="AE145">
        <v>2042</v>
      </c>
      <c r="AG145">
        <v>0</v>
      </c>
      <c r="AH145">
        <v>144</v>
      </c>
    </row>
    <row r="146" spans="1:34" x14ac:dyDescent="0.25">
      <c r="A146" t="s">
        <v>768</v>
      </c>
      <c r="B146" t="s">
        <v>911</v>
      </c>
      <c r="D146" t="s">
        <v>770</v>
      </c>
      <c r="E146">
        <v>145</v>
      </c>
      <c r="H146">
        <v>6010</v>
      </c>
      <c r="I146">
        <v>2</v>
      </c>
      <c r="J146" t="s">
        <v>771</v>
      </c>
      <c r="K146">
        <v>100000</v>
      </c>
      <c r="L146" t="s">
        <v>38</v>
      </c>
      <c r="M146">
        <v>63</v>
      </c>
      <c r="N146">
        <v>610</v>
      </c>
      <c r="O146">
        <v>6</v>
      </c>
      <c r="P146">
        <v>10</v>
      </c>
      <c r="Q146">
        <v>37</v>
      </c>
      <c r="R146">
        <v>20.2</v>
      </c>
      <c r="S146">
        <v>2044</v>
      </c>
      <c r="T146">
        <v>2617</v>
      </c>
      <c r="U146" s="1">
        <v>45497</v>
      </c>
      <c r="V146" s="1">
        <v>45532</v>
      </c>
      <c r="W146">
        <v>145550</v>
      </c>
      <c r="X146">
        <v>0.957565789</v>
      </c>
      <c r="Y146">
        <v>2732.9714869999998</v>
      </c>
      <c r="Z146">
        <f t="shared" si="9"/>
        <v>1.0037828945</v>
      </c>
      <c r="AA146">
        <f t="shared" si="10"/>
        <v>2607.1374739889034</v>
      </c>
      <c r="AB146" cm="1">
        <f t="array" ref="AB146">_xlfn.IFS(X146&lt;0.6,T146,0.9&lt;X146,T146,X146,AA146)</f>
        <v>2617</v>
      </c>
      <c r="AC146">
        <v>0.98514802599999995</v>
      </c>
      <c r="AD146">
        <v>2714.037601</v>
      </c>
      <c r="AE146">
        <v>2617</v>
      </c>
      <c r="AG146">
        <v>0</v>
      </c>
      <c r="AH146">
        <v>145</v>
      </c>
    </row>
    <row r="147" spans="1:34" x14ac:dyDescent="0.25">
      <c r="A147" t="s">
        <v>768</v>
      </c>
      <c r="B147" t="s">
        <v>912</v>
      </c>
      <c r="D147" t="s">
        <v>770</v>
      </c>
      <c r="E147">
        <v>146</v>
      </c>
      <c r="H147">
        <v>5010</v>
      </c>
      <c r="I147">
        <v>2</v>
      </c>
      <c r="J147" t="s">
        <v>771</v>
      </c>
      <c r="K147">
        <v>100000</v>
      </c>
      <c r="L147" t="s">
        <v>58</v>
      </c>
      <c r="M147">
        <v>69</v>
      </c>
      <c r="N147">
        <v>510</v>
      </c>
      <c r="O147">
        <v>5</v>
      </c>
      <c r="P147">
        <v>10</v>
      </c>
      <c r="Q147">
        <v>62</v>
      </c>
      <c r="R147">
        <v>20.5</v>
      </c>
      <c r="S147">
        <v>538</v>
      </c>
      <c r="T147">
        <v>686</v>
      </c>
      <c r="U147" s="1">
        <v>45489</v>
      </c>
      <c r="V147" s="1">
        <v>45523</v>
      </c>
      <c r="W147">
        <v>151811</v>
      </c>
      <c r="X147">
        <v>0.99875000800000002</v>
      </c>
      <c r="Y147">
        <v>686.85856760000001</v>
      </c>
      <c r="Z147">
        <f t="shared" si="9"/>
        <v>1.0243750039999999</v>
      </c>
      <c r="AA147">
        <f t="shared" si="10"/>
        <v>669.67662947777285</v>
      </c>
      <c r="AB147" cm="1">
        <f t="array" ref="AB147">_xlfn.IFS(X147&lt;0.6,T147,0.9&lt;X147,T147,X147,AA147)</f>
        <v>686</v>
      </c>
      <c r="AC147">
        <v>0.99956250300000005</v>
      </c>
      <c r="AD147">
        <v>686.72945760000005</v>
      </c>
      <c r="AE147">
        <v>686</v>
      </c>
      <c r="AG147">
        <v>0</v>
      </c>
      <c r="AH147">
        <v>146</v>
      </c>
    </row>
    <row r="148" spans="1:34" x14ac:dyDescent="0.25">
      <c r="A148" t="s">
        <v>768</v>
      </c>
      <c r="B148" t="s">
        <v>913</v>
      </c>
      <c r="D148" t="s">
        <v>770</v>
      </c>
      <c r="E148">
        <v>147</v>
      </c>
      <c r="H148">
        <v>4010</v>
      </c>
      <c r="I148">
        <v>2</v>
      </c>
      <c r="J148" t="s">
        <v>771</v>
      </c>
      <c r="K148">
        <v>100000</v>
      </c>
      <c r="L148" t="s">
        <v>74</v>
      </c>
      <c r="M148">
        <v>61</v>
      </c>
      <c r="N148">
        <v>410</v>
      </c>
      <c r="O148">
        <v>4</v>
      </c>
      <c r="P148">
        <v>10</v>
      </c>
      <c r="Q148">
        <v>26</v>
      </c>
      <c r="R148">
        <v>18.899999999999999</v>
      </c>
      <c r="S148">
        <v>1952</v>
      </c>
      <c r="T148">
        <v>2540</v>
      </c>
      <c r="U148" s="1">
        <v>45497</v>
      </c>
      <c r="V148" s="1">
        <v>45535</v>
      </c>
      <c r="W148">
        <v>151355</v>
      </c>
      <c r="X148">
        <v>0.99574347699999999</v>
      </c>
      <c r="Y148">
        <v>2550.8577850000001</v>
      </c>
      <c r="Z148">
        <f t="shared" si="9"/>
        <v>1.0228717385000001</v>
      </c>
      <c r="AA148">
        <f t="shared" si="10"/>
        <v>2483.2047894145621</v>
      </c>
      <c r="AB148" cm="1">
        <f t="array" ref="AB148">_xlfn.IFS(X148&lt;0.6,T148,0.9&lt;X148,T148,X148,AA148)</f>
        <v>2540</v>
      </c>
      <c r="AC148">
        <v>0.99851021699999998</v>
      </c>
      <c r="AD148">
        <v>2549.215091</v>
      </c>
      <c r="AE148">
        <v>2540</v>
      </c>
      <c r="AG148">
        <v>0</v>
      </c>
      <c r="AH148">
        <v>147</v>
      </c>
    </row>
    <row r="149" spans="1:34" x14ac:dyDescent="0.25">
      <c r="A149" t="s">
        <v>768</v>
      </c>
      <c r="B149" t="s">
        <v>914</v>
      </c>
      <c r="D149" t="s">
        <v>770</v>
      </c>
      <c r="E149">
        <v>148</v>
      </c>
      <c r="H149">
        <v>3010</v>
      </c>
      <c r="I149">
        <v>2</v>
      </c>
      <c r="J149" t="s">
        <v>771</v>
      </c>
      <c r="K149">
        <v>100000</v>
      </c>
      <c r="L149" t="s">
        <v>62</v>
      </c>
      <c r="M149">
        <v>73</v>
      </c>
      <c r="N149">
        <v>310</v>
      </c>
      <c r="O149">
        <v>3</v>
      </c>
      <c r="P149">
        <v>10</v>
      </c>
      <c r="Q149">
        <v>26</v>
      </c>
      <c r="R149">
        <v>20.3</v>
      </c>
      <c r="S149">
        <v>1889</v>
      </c>
      <c r="T149">
        <v>2416</v>
      </c>
      <c r="U149" s="1">
        <v>45495</v>
      </c>
      <c r="V149" s="1">
        <v>45534</v>
      </c>
      <c r="W149">
        <v>148816</v>
      </c>
      <c r="X149">
        <v>0.97907195499999999</v>
      </c>
      <c r="Y149">
        <v>2467.6429419999999</v>
      </c>
      <c r="Z149">
        <f t="shared" si="9"/>
        <v>1.0145359775</v>
      </c>
      <c r="AA149">
        <f t="shared" si="10"/>
        <v>2381.3842520927255</v>
      </c>
      <c r="AB149" cm="1">
        <f t="array" ref="AB149">_xlfn.IFS(X149&lt;0.6,T149,0.9&lt;X149,T149,X149,AA149)</f>
        <v>2416</v>
      </c>
      <c r="AC149">
        <v>0.99267518399999999</v>
      </c>
      <c r="AD149">
        <v>2459.564273</v>
      </c>
      <c r="AE149">
        <v>2416</v>
      </c>
      <c r="AG149">
        <v>0</v>
      </c>
      <c r="AH149">
        <v>148</v>
      </c>
    </row>
    <row r="150" spans="1:34" x14ac:dyDescent="0.25">
      <c r="A150" t="s">
        <v>768</v>
      </c>
      <c r="B150" t="s">
        <v>915</v>
      </c>
      <c r="D150" t="s">
        <v>770</v>
      </c>
      <c r="E150">
        <v>149</v>
      </c>
      <c r="H150">
        <v>2010</v>
      </c>
      <c r="I150">
        <v>2</v>
      </c>
      <c r="J150" t="s">
        <v>771</v>
      </c>
      <c r="K150">
        <v>100000</v>
      </c>
      <c r="L150" t="s">
        <v>54</v>
      </c>
      <c r="M150">
        <v>70</v>
      </c>
      <c r="N150">
        <v>210</v>
      </c>
      <c r="O150">
        <v>2</v>
      </c>
      <c r="P150">
        <v>10</v>
      </c>
      <c r="Q150">
        <v>55</v>
      </c>
      <c r="R150">
        <v>20.3</v>
      </c>
      <c r="S150">
        <v>674</v>
      </c>
      <c r="T150">
        <v>862</v>
      </c>
      <c r="U150" s="1">
        <v>45491</v>
      </c>
      <c r="V150" s="1">
        <v>45525</v>
      </c>
      <c r="W150">
        <v>151953</v>
      </c>
      <c r="X150">
        <v>0.99967763600000004</v>
      </c>
      <c r="Y150">
        <v>862.27796750000005</v>
      </c>
      <c r="Z150">
        <f t="shared" si="9"/>
        <v>1.0248388180000001</v>
      </c>
      <c r="AA150">
        <f t="shared" si="10"/>
        <v>841.10787458482071</v>
      </c>
      <c r="AB150" cm="1">
        <f t="array" ref="AB150">_xlfn.IFS(X150&lt;0.6,T150,0.9&lt;X150,T150,X150,AA150)</f>
        <v>862</v>
      </c>
      <c r="AC150">
        <v>0.99988717299999996</v>
      </c>
      <c r="AD150">
        <v>862.23624519999998</v>
      </c>
      <c r="AE150">
        <v>862</v>
      </c>
      <c r="AG150">
        <v>0</v>
      </c>
      <c r="AH150">
        <v>149</v>
      </c>
    </row>
    <row r="151" spans="1:34" x14ac:dyDescent="0.25">
      <c r="A151" t="s">
        <v>768</v>
      </c>
      <c r="B151" t="s">
        <v>916</v>
      </c>
      <c r="D151" t="s">
        <v>770</v>
      </c>
      <c r="E151">
        <v>150</v>
      </c>
      <c r="H151">
        <v>1010</v>
      </c>
      <c r="I151">
        <v>2</v>
      </c>
      <c r="J151" t="s">
        <v>771</v>
      </c>
      <c r="K151">
        <v>100000</v>
      </c>
      <c r="L151" t="s">
        <v>80</v>
      </c>
      <c r="M151">
        <v>62</v>
      </c>
      <c r="N151">
        <v>110</v>
      </c>
      <c r="O151">
        <v>1</v>
      </c>
      <c r="P151">
        <v>10</v>
      </c>
      <c r="Q151">
        <v>26</v>
      </c>
      <c r="R151">
        <v>19.399999999999999</v>
      </c>
      <c r="S151">
        <v>2252</v>
      </c>
      <c r="T151">
        <v>2913</v>
      </c>
      <c r="U151" s="1">
        <v>45495</v>
      </c>
      <c r="V151" s="1">
        <v>45535</v>
      </c>
      <c r="W151">
        <v>150764</v>
      </c>
      <c r="X151">
        <v>0.99186842099999994</v>
      </c>
      <c r="Y151">
        <v>2936.881484</v>
      </c>
      <c r="Z151">
        <f t="shared" si="9"/>
        <v>1.0209342105000001</v>
      </c>
      <c r="AA151">
        <f t="shared" si="10"/>
        <v>2853.2690647846593</v>
      </c>
      <c r="AB151" cm="1">
        <f t="array" ref="AB151">_xlfn.IFS(X151&lt;0.6,T151,0.9&lt;X151,T151,X151,AA151)</f>
        <v>2913</v>
      </c>
      <c r="AC151">
        <v>0.99715394700000004</v>
      </c>
      <c r="AD151">
        <v>2933.240151</v>
      </c>
      <c r="AE151">
        <v>2913</v>
      </c>
      <c r="AG151">
        <v>0</v>
      </c>
      <c r="AH151">
        <v>150</v>
      </c>
    </row>
    <row r="152" spans="1:34" x14ac:dyDescent="0.25">
      <c r="A152" t="s">
        <v>768</v>
      </c>
      <c r="B152" s="2" t="s">
        <v>917</v>
      </c>
      <c r="D152" t="s">
        <v>770</v>
      </c>
      <c r="E152">
        <v>151</v>
      </c>
      <c r="H152">
        <v>1011</v>
      </c>
      <c r="I152">
        <v>2</v>
      </c>
      <c r="J152" t="s">
        <v>771</v>
      </c>
      <c r="K152">
        <v>75000</v>
      </c>
      <c r="L152" t="s">
        <v>34</v>
      </c>
      <c r="M152">
        <v>56</v>
      </c>
      <c r="N152">
        <v>111</v>
      </c>
      <c r="O152">
        <v>1</v>
      </c>
      <c r="P152">
        <v>11</v>
      </c>
      <c r="Q152">
        <v>47</v>
      </c>
      <c r="R152">
        <v>19.8</v>
      </c>
      <c r="S152">
        <v>307</v>
      </c>
      <c r="T152">
        <v>395</v>
      </c>
      <c r="U152" s="1">
        <v>45489</v>
      </c>
      <c r="V152" s="1">
        <v>45524</v>
      </c>
      <c r="W152">
        <v>136601</v>
      </c>
      <c r="X152">
        <v>0.89868487699999999</v>
      </c>
      <c r="Y152">
        <v>439.53115279999997</v>
      </c>
      <c r="Z152">
        <f t="shared" si="9"/>
        <v>0.97434243850000002</v>
      </c>
      <c r="AA152">
        <f t="shared" si="10"/>
        <v>405.40161691828018</v>
      </c>
      <c r="AB152" cm="1">
        <f t="array" ref="AB152">_xlfn.IFS(X152&lt;0.6,T152,0.9&lt;X152,T152,X152,AA152)</f>
        <v>405.40161691828018</v>
      </c>
      <c r="AC152">
        <v>0.96453970700000002</v>
      </c>
      <c r="AD152">
        <v>431.37412280000001</v>
      </c>
      <c r="AE152">
        <v>431.37412280000001</v>
      </c>
      <c r="AG152">
        <v>0</v>
      </c>
      <c r="AH152">
        <v>151</v>
      </c>
    </row>
    <row r="153" spans="1:34" x14ac:dyDescent="0.25">
      <c r="A153" t="s">
        <v>768</v>
      </c>
      <c r="B153" t="s">
        <v>918</v>
      </c>
      <c r="D153" t="s">
        <v>770</v>
      </c>
      <c r="E153">
        <v>152</v>
      </c>
      <c r="H153">
        <v>2011</v>
      </c>
      <c r="I153">
        <v>2</v>
      </c>
      <c r="J153" t="s">
        <v>771</v>
      </c>
      <c r="K153">
        <v>75000</v>
      </c>
      <c r="L153" t="s">
        <v>78</v>
      </c>
      <c r="M153">
        <v>51</v>
      </c>
      <c r="N153">
        <v>211</v>
      </c>
      <c r="O153">
        <v>2</v>
      </c>
      <c r="P153">
        <v>11</v>
      </c>
      <c r="Q153">
        <v>63</v>
      </c>
      <c r="R153">
        <v>21.5</v>
      </c>
      <c r="S153">
        <v>537</v>
      </c>
      <c r="T153">
        <v>676</v>
      </c>
      <c r="U153" s="1">
        <v>45489</v>
      </c>
      <c r="V153" s="1">
        <v>45525</v>
      </c>
      <c r="W153">
        <v>143412</v>
      </c>
      <c r="X153">
        <v>0.94350000000000001</v>
      </c>
      <c r="Y153">
        <v>716.48118710000006</v>
      </c>
      <c r="Z153">
        <f t="shared" si="9"/>
        <v>0.99675000000000002</v>
      </c>
      <c r="AA153">
        <f t="shared" si="10"/>
        <v>678.20416353147732</v>
      </c>
      <c r="AB153" cm="1">
        <f t="array" ref="AB153">_xlfn.IFS(X153&lt;0.6,T153,0.9&lt;X153,T153,X153,AA153)</f>
        <v>676</v>
      </c>
      <c r="AC153">
        <v>0.98022500000000001</v>
      </c>
      <c r="AD153">
        <v>709.68621889999997</v>
      </c>
      <c r="AE153">
        <v>676</v>
      </c>
      <c r="AG153">
        <v>0</v>
      </c>
      <c r="AH153">
        <v>152</v>
      </c>
    </row>
    <row r="154" spans="1:34" x14ac:dyDescent="0.25">
      <c r="A154" t="s">
        <v>768</v>
      </c>
      <c r="B154" t="s">
        <v>919</v>
      </c>
      <c r="D154" t="s">
        <v>770</v>
      </c>
      <c r="E154">
        <v>153</v>
      </c>
      <c r="H154">
        <v>3011</v>
      </c>
      <c r="I154">
        <v>2</v>
      </c>
      <c r="J154" t="s">
        <v>771</v>
      </c>
      <c r="K154">
        <v>75000</v>
      </c>
      <c r="L154" t="s">
        <v>26</v>
      </c>
      <c r="M154">
        <v>53</v>
      </c>
      <c r="N154">
        <v>311</v>
      </c>
      <c r="O154">
        <v>3</v>
      </c>
      <c r="P154">
        <v>11</v>
      </c>
      <c r="Q154">
        <v>24</v>
      </c>
      <c r="R154">
        <v>19.899999999999999</v>
      </c>
      <c r="S154">
        <v>1686</v>
      </c>
      <c r="T154">
        <v>2167</v>
      </c>
      <c r="U154" s="1">
        <v>45497</v>
      </c>
      <c r="V154" s="1">
        <v>45534</v>
      </c>
      <c r="W154">
        <v>146210</v>
      </c>
      <c r="X154">
        <v>0.96190156599999999</v>
      </c>
      <c r="Y154">
        <v>2252.8292660000002</v>
      </c>
      <c r="Z154">
        <f t="shared" si="9"/>
        <v>1.0059507830000001</v>
      </c>
      <c r="AA154">
        <f t="shared" si="10"/>
        <v>2154.1809367029441</v>
      </c>
      <c r="AB154" cm="1">
        <f t="array" ref="AB154">_xlfn.IFS(X154&lt;0.6,T154,0.9&lt;X154,T154,X154,AA154)</f>
        <v>2167</v>
      </c>
      <c r="AC154">
        <v>0.98666554799999995</v>
      </c>
      <c r="AD154">
        <v>2238.936256</v>
      </c>
      <c r="AE154">
        <v>2167</v>
      </c>
      <c r="AG154">
        <v>0</v>
      </c>
      <c r="AH154">
        <v>153</v>
      </c>
    </row>
    <row r="155" spans="1:34" x14ac:dyDescent="0.25">
      <c r="A155" t="s">
        <v>768</v>
      </c>
      <c r="B155" t="s">
        <v>920</v>
      </c>
      <c r="D155" t="s">
        <v>770</v>
      </c>
      <c r="E155">
        <v>154</v>
      </c>
      <c r="H155">
        <v>4011</v>
      </c>
      <c r="I155">
        <v>2</v>
      </c>
      <c r="J155" t="s">
        <v>771</v>
      </c>
      <c r="K155">
        <v>75000</v>
      </c>
      <c r="L155" t="s">
        <v>54</v>
      </c>
      <c r="M155">
        <v>55</v>
      </c>
      <c r="N155">
        <v>411</v>
      </c>
      <c r="O155">
        <v>4</v>
      </c>
      <c r="P155">
        <v>11</v>
      </c>
      <c r="Q155">
        <v>56</v>
      </c>
      <c r="R155">
        <v>21</v>
      </c>
      <c r="S155">
        <v>680</v>
      </c>
      <c r="T155">
        <v>862</v>
      </c>
      <c r="U155" s="1">
        <v>45492</v>
      </c>
      <c r="V155" s="1">
        <v>45526</v>
      </c>
      <c r="W155">
        <v>150293</v>
      </c>
      <c r="X155">
        <v>0.98877624200000003</v>
      </c>
      <c r="Y155">
        <v>871.78470059999995</v>
      </c>
      <c r="Z155">
        <f t="shared" si="9"/>
        <v>1.019388121</v>
      </c>
      <c r="AA155">
        <f t="shared" si="10"/>
        <v>845.60530208493572</v>
      </c>
      <c r="AB155" cm="1">
        <f t="array" ref="AB155">_xlfn.IFS(X155&lt;0.6,T155,0.9&lt;X155,T155,X155,AA155)</f>
        <v>862</v>
      </c>
      <c r="AC155">
        <v>0.99607168499999998</v>
      </c>
      <c r="AD155">
        <v>870.28348789999995</v>
      </c>
      <c r="AE155">
        <v>862</v>
      </c>
      <c r="AG155">
        <v>0</v>
      </c>
      <c r="AH155">
        <v>154</v>
      </c>
    </row>
    <row r="156" spans="1:34" x14ac:dyDescent="0.25">
      <c r="A156" t="s">
        <v>768</v>
      </c>
      <c r="B156" t="s">
        <v>921</v>
      </c>
      <c r="D156" t="s">
        <v>770</v>
      </c>
      <c r="E156">
        <v>155</v>
      </c>
      <c r="H156">
        <v>5011</v>
      </c>
      <c r="I156">
        <v>2</v>
      </c>
      <c r="J156" t="s">
        <v>771</v>
      </c>
      <c r="K156">
        <v>75000</v>
      </c>
      <c r="L156" t="s">
        <v>80</v>
      </c>
      <c r="M156">
        <v>47</v>
      </c>
      <c r="N156">
        <v>511</v>
      </c>
      <c r="O156">
        <v>5</v>
      </c>
      <c r="P156">
        <v>11</v>
      </c>
      <c r="Q156">
        <v>37</v>
      </c>
      <c r="R156">
        <v>19.7</v>
      </c>
      <c r="S156">
        <v>1726</v>
      </c>
      <c r="T156">
        <v>2224</v>
      </c>
      <c r="U156" s="1">
        <v>45496</v>
      </c>
      <c r="V156" s="1">
        <v>45536</v>
      </c>
      <c r="W156">
        <v>151265</v>
      </c>
      <c r="X156">
        <v>0.99518411500000004</v>
      </c>
      <c r="Y156">
        <v>2234.7623570000001</v>
      </c>
      <c r="Z156">
        <f t="shared" si="9"/>
        <v>1.0225920575</v>
      </c>
      <c r="AA156">
        <f t="shared" si="10"/>
        <v>2174.8653176880362</v>
      </c>
      <c r="AB156" cm="1">
        <f t="array" ref="AB156">_xlfn.IFS(X156&lt;0.6,T156,0.9&lt;X156,T156,X156,AA156)</f>
        <v>2224</v>
      </c>
      <c r="AC156">
        <v>0.99831444000000003</v>
      </c>
      <c r="AD156">
        <v>2233.1322679999998</v>
      </c>
      <c r="AE156">
        <v>2224</v>
      </c>
      <c r="AG156">
        <v>0</v>
      </c>
      <c r="AH156">
        <v>155</v>
      </c>
    </row>
    <row r="157" spans="1:34" x14ac:dyDescent="0.25">
      <c r="A157" t="s">
        <v>768</v>
      </c>
      <c r="B157" s="2" t="s">
        <v>922</v>
      </c>
      <c r="D157" t="s">
        <v>770</v>
      </c>
      <c r="E157">
        <v>156</v>
      </c>
      <c r="H157">
        <v>6011</v>
      </c>
      <c r="I157">
        <v>2</v>
      </c>
      <c r="J157" t="s">
        <v>771</v>
      </c>
      <c r="K157">
        <v>75000</v>
      </c>
      <c r="L157" t="s">
        <v>70</v>
      </c>
      <c r="M157">
        <v>52</v>
      </c>
      <c r="N157">
        <v>611</v>
      </c>
      <c r="O157">
        <v>6</v>
      </c>
      <c r="P157">
        <v>11</v>
      </c>
      <c r="Q157">
        <v>42</v>
      </c>
      <c r="R157">
        <v>20.5</v>
      </c>
      <c r="S157">
        <v>1282</v>
      </c>
      <c r="T157">
        <v>1635</v>
      </c>
      <c r="U157" s="1">
        <v>45498</v>
      </c>
      <c r="V157" s="1">
        <v>45536</v>
      </c>
      <c r="W157">
        <v>133093</v>
      </c>
      <c r="X157">
        <v>0.87560032099999996</v>
      </c>
      <c r="Y157">
        <v>1867.2903160000001</v>
      </c>
      <c r="Z157">
        <f t="shared" si="9"/>
        <v>0.96280016050000006</v>
      </c>
      <c r="AA157">
        <f t="shared" si="10"/>
        <v>1698.1717152507681</v>
      </c>
      <c r="AB157" cm="1">
        <f t="array" ref="AB157">_xlfn.IFS(X157&lt;0.6,T157,0.9&lt;X157,T157,X157,AA157)</f>
        <v>1698.1717152507681</v>
      </c>
      <c r="AC157">
        <v>0.95646011200000003</v>
      </c>
      <c r="AD157">
        <v>1822.8065939999999</v>
      </c>
      <c r="AE157">
        <v>1822.8065939999999</v>
      </c>
      <c r="AG157">
        <v>0</v>
      </c>
      <c r="AH157">
        <v>156</v>
      </c>
    </row>
    <row r="158" spans="1:34" x14ac:dyDescent="0.25">
      <c r="A158" t="s">
        <v>768</v>
      </c>
      <c r="B158" t="s">
        <v>923</v>
      </c>
      <c r="D158" t="s">
        <v>770</v>
      </c>
      <c r="E158">
        <v>157</v>
      </c>
      <c r="H158">
        <v>7011</v>
      </c>
      <c r="I158">
        <v>2</v>
      </c>
      <c r="J158" t="s">
        <v>771</v>
      </c>
      <c r="K158">
        <v>75000</v>
      </c>
      <c r="L158" t="s">
        <v>46</v>
      </c>
      <c r="M158">
        <v>50</v>
      </c>
      <c r="N158">
        <v>711</v>
      </c>
      <c r="O158">
        <v>7</v>
      </c>
      <c r="P158">
        <v>11</v>
      </c>
      <c r="Q158">
        <v>26</v>
      </c>
      <c r="R158">
        <v>19.600000000000001</v>
      </c>
      <c r="S158">
        <v>1818</v>
      </c>
      <c r="T158">
        <v>2345</v>
      </c>
      <c r="U158" s="1">
        <v>45495</v>
      </c>
      <c r="V158" s="1">
        <v>45532</v>
      </c>
      <c r="W158">
        <v>151627</v>
      </c>
      <c r="X158">
        <v>0.99756574099999995</v>
      </c>
      <c r="Y158">
        <v>2350.7222660000002</v>
      </c>
      <c r="Z158">
        <f t="shared" si="9"/>
        <v>1.0237828705000001</v>
      </c>
      <c r="AA158">
        <f t="shared" si="10"/>
        <v>2290.5247465751577</v>
      </c>
      <c r="AB158" cm="1">
        <f t="array" ref="AB158">_xlfn.IFS(X158&lt;0.6,T158,0.9&lt;X158,T158,X158,AA158)</f>
        <v>2345</v>
      </c>
      <c r="AC158">
        <v>0.999148009</v>
      </c>
      <c r="AD158">
        <v>2349.8597049999998</v>
      </c>
      <c r="AE158">
        <v>2345</v>
      </c>
      <c r="AG158">
        <v>0</v>
      </c>
      <c r="AH158">
        <v>157</v>
      </c>
    </row>
    <row r="159" spans="1:34" x14ac:dyDescent="0.25">
      <c r="A159" t="s">
        <v>768</v>
      </c>
      <c r="B159" t="s">
        <v>924</v>
      </c>
      <c r="D159" t="s">
        <v>770</v>
      </c>
      <c r="E159">
        <v>158</v>
      </c>
      <c r="H159">
        <v>8011</v>
      </c>
      <c r="I159">
        <v>2</v>
      </c>
      <c r="J159" t="s">
        <v>771</v>
      </c>
      <c r="K159">
        <v>75000</v>
      </c>
      <c r="L159" t="s">
        <v>66</v>
      </c>
      <c r="M159">
        <v>57</v>
      </c>
      <c r="N159">
        <v>811</v>
      </c>
      <c r="O159">
        <v>8</v>
      </c>
      <c r="P159">
        <v>11</v>
      </c>
      <c r="Q159">
        <v>70</v>
      </c>
      <c r="R159">
        <v>20.8</v>
      </c>
      <c r="S159">
        <v>1183</v>
      </c>
      <c r="T159">
        <v>1503</v>
      </c>
      <c r="U159" s="1">
        <v>45494</v>
      </c>
      <c r="W159">
        <v>150758</v>
      </c>
      <c r="X159">
        <v>0.99182242200000004</v>
      </c>
      <c r="Y159">
        <v>1515.3922379999999</v>
      </c>
      <c r="Z159">
        <f t="shared" si="9"/>
        <v>1.020911211</v>
      </c>
      <c r="AA159">
        <f t="shared" si="10"/>
        <v>1472.2142178532702</v>
      </c>
      <c r="AB159" cm="1">
        <f t="array" ref="AB159">_xlfn.IFS(X159&lt;0.6,T159,0.9&lt;X159,T159,X159,AA159)</f>
        <v>1503</v>
      </c>
      <c r="AC159">
        <v>0.99713784800000005</v>
      </c>
      <c r="AD159">
        <v>1513.502555</v>
      </c>
      <c r="AE159">
        <v>1503</v>
      </c>
      <c r="AG159">
        <v>0</v>
      </c>
      <c r="AH159">
        <v>158</v>
      </c>
    </row>
    <row r="160" spans="1:34" x14ac:dyDescent="0.25">
      <c r="A160" t="s">
        <v>768</v>
      </c>
      <c r="B160" t="s">
        <v>925</v>
      </c>
      <c r="D160" t="s">
        <v>770</v>
      </c>
      <c r="E160">
        <v>159</v>
      </c>
      <c r="H160">
        <v>9011</v>
      </c>
      <c r="I160">
        <v>2</v>
      </c>
      <c r="J160" t="s">
        <v>771</v>
      </c>
      <c r="K160">
        <v>75000</v>
      </c>
      <c r="L160" t="s">
        <v>30</v>
      </c>
      <c r="M160">
        <v>60</v>
      </c>
      <c r="N160">
        <v>911</v>
      </c>
      <c r="O160">
        <v>9</v>
      </c>
      <c r="P160">
        <v>11</v>
      </c>
      <c r="Q160">
        <v>38</v>
      </c>
      <c r="R160">
        <v>21.2</v>
      </c>
      <c r="S160">
        <v>1261</v>
      </c>
      <c r="T160">
        <v>1594</v>
      </c>
      <c r="U160" s="1">
        <v>45501</v>
      </c>
      <c r="V160" s="1">
        <v>45534</v>
      </c>
      <c r="W160">
        <v>107376</v>
      </c>
      <c r="X160">
        <v>0.70642570000000005</v>
      </c>
      <c r="Y160">
        <v>2256.4297980000001</v>
      </c>
      <c r="Z160">
        <f t="shared" si="9"/>
        <v>0.87821285000000004</v>
      </c>
      <c r="AA160">
        <f t="shared" si="10"/>
        <v>1815.0497342415338</v>
      </c>
      <c r="AB160" cm="1">
        <f t="array" ref="AB160">_xlfn.IFS(X160&lt;0.6,T160,0.9&lt;X160,T160,X160,AA160)</f>
        <v>1815.0497342415338</v>
      </c>
      <c r="AC160">
        <v>0.89724899499999999</v>
      </c>
      <c r="AD160">
        <v>2082.178457</v>
      </c>
      <c r="AE160">
        <v>2082.178457</v>
      </c>
      <c r="AG160">
        <v>0</v>
      </c>
      <c r="AH160">
        <v>159</v>
      </c>
    </row>
    <row r="161" spans="1:34" x14ac:dyDescent="0.25">
      <c r="A161" t="s">
        <v>768</v>
      </c>
      <c r="B161" t="s">
        <v>926</v>
      </c>
      <c r="D161" t="s">
        <v>770</v>
      </c>
      <c r="E161">
        <v>160</v>
      </c>
      <c r="H161">
        <v>10011</v>
      </c>
      <c r="I161">
        <v>2</v>
      </c>
      <c r="J161" t="s">
        <v>771</v>
      </c>
      <c r="K161">
        <v>75000</v>
      </c>
      <c r="L161" t="s">
        <v>50</v>
      </c>
      <c r="M161">
        <v>49</v>
      </c>
      <c r="N161">
        <v>1011</v>
      </c>
      <c r="O161">
        <v>10</v>
      </c>
      <c r="P161">
        <v>11</v>
      </c>
      <c r="Q161">
        <v>63</v>
      </c>
      <c r="R161">
        <v>21.7</v>
      </c>
      <c r="S161">
        <v>851</v>
      </c>
      <c r="T161">
        <v>1069</v>
      </c>
      <c r="U161" s="1">
        <v>45496</v>
      </c>
      <c r="W161">
        <v>146865</v>
      </c>
      <c r="X161">
        <v>0.96621710500000002</v>
      </c>
      <c r="Y161">
        <v>1106.376604</v>
      </c>
      <c r="Z161">
        <f t="shared" si="9"/>
        <v>1.0081085525</v>
      </c>
      <c r="AA161">
        <f t="shared" si="10"/>
        <v>1060.4016773282956</v>
      </c>
      <c r="AB161" cm="1">
        <f t="array" ref="AB161">_xlfn.IFS(X161&lt;0.6,T161,0.9&lt;X161,T161,X161,AA161)</f>
        <v>1069</v>
      </c>
      <c r="AC161">
        <v>0.98817598699999998</v>
      </c>
      <c r="AD161">
        <v>1100.378091</v>
      </c>
      <c r="AE161">
        <v>1069</v>
      </c>
      <c r="AG161">
        <v>0</v>
      </c>
      <c r="AH161">
        <v>160</v>
      </c>
    </row>
    <row r="162" spans="1:34" x14ac:dyDescent="0.25">
      <c r="A162" t="s">
        <v>768</v>
      </c>
      <c r="B162" t="s">
        <v>927</v>
      </c>
      <c r="D162" t="s">
        <v>770</v>
      </c>
      <c r="E162">
        <v>161</v>
      </c>
      <c r="H162">
        <v>11011</v>
      </c>
      <c r="I162">
        <v>2</v>
      </c>
      <c r="J162" t="s">
        <v>771</v>
      </c>
      <c r="K162">
        <v>75000</v>
      </c>
      <c r="L162" t="s">
        <v>58</v>
      </c>
      <c r="M162">
        <v>54</v>
      </c>
      <c r="N162">
        <v>1111</v>
      </c>
      <c r="O162">
        <v>11</v>
      </c>
      <c r="P162">
        <v>11</v>
      </c>
      <c r="Q162">
        <v>65</v>
      </c>
      <c r="R162">
        <v>19.5</v>
      </c>
      <c r="S162">
        <v>341</v>
      </c>
      <c r="T162">
        <v>440</v>
      </c>
      <c r="U162" s="1">
        <v>45491</v>
      </c>
      <c r="V162" s="1">
        <v>45525</v>
      </c>
      <c r="W162">
        <v>149108</v>
      </c>
      <c r="X162">
        <v>0.98097368399999996</v>
      </c>
      <c r="Y162">
        <v>448.53394850000001</v>
      </c>
      <c r="Z162">
        <f t="shared" si="9"/>
        <v>1.0154868420000001</v>
      </c>
      <c r="AA162">
        <f t="shared" si="10"/>
        <v>433.28971071000836</v>
      </c>
      <c r="AB162" cm="1">
        <f t="array" ref="AB162">_xlfn.IFS(X162&lt;0.6,T162,0.9&lt;X162,T162,X162,AA162)</f>
        <v>440</v>
      </c>
      <c r="AC162">
        <v>0.993340789</v>
      </c>
      <c r="AD162">
        <v>447.20401779999997</v>
      </c>
      <c r="AE162">
        <v>440</v>
      </c>
      <c r="AG162">
        <v>0</v>
      </c>
      <c r="AH162">
        <v>161</v>
      </c>
    </row>
    <row r="163" spans="1:34" x14ac:dyDescent="0.25">
      <c r="A163" t="s">
        <v>768</v>
      </c>
      <c r="B163" t="s">
        <v>928</v>
      </c>
      <c r="D163" t="s">
        <v>770</v>
      </c>
      <c r="E163">
        <v>162</v>
      </c>
      <c r="H163">
        <v>12011</v>
      </c>
      <c r="I163">
        <v>2</v>
      </c>
      <c r="J163" t="s">
        <v>771</v>
      </c>
      <c r="K163">
        <v>75000</v>
      </c>
      <c r="L163" t="s">
        <v>62</v>
      </c>
      <c r="M163">
        <v>58</v>
      </c>
      <c r="N163">
        <v>1211</v>
      </c>
      <c r="O163">
        <v>12</v>
      </c>
      <c r="P163">
        <v>11</v>
      </c>
      <c r="Q163">
        <v>22</v>
      </c>
      <c r="R163">
        <v>22.1</v>
      </c>
      <c r="S163">
        <v>1630</v>
      </c>
      <c r="T163">
        <v>2038</v>
      </c>
      <c r="U163" s="1">
        <v>45496</v>
      </c>
      <c r="V163" s="1">
        <v>45536</v>
      </c>
      <c r="W163">
        <v>147584</v>
      </c>
      <c r="X163">
        <v>0.97094736800000003</v>
      </c>
      <c r="Y163">
        <v>2098.9809190000001</v>
      </c>
      <c r="Z163">
        <f t="shared" si="9"/>
        <v>1.0104736839999999</v>
      </c>
      <c r="AA163">
        <f t="shared" si="10"/>
        <v>2016.8758793722332</v>
      </c>
      <c r="AB163" cm="1">
        <f t="array" ref="AB163">_xlfn.IFS(X163&lt;0.6,T163,0.9&lt;X163,T163,X163,AA163)</f>
        <v>2038</v>
      </c>
      <c r="AC163">
        <v>0.98983157899999996</v>
      </c>
      <c r="AD163">
        <v>2089.2857549999999</v>
      </c>
      <c r="AE163">
        <v>2038</v>
      </c>
      <c r="AG163">
        <v>0</v>
      </c>
      <c r="AH163">
        <v>162</v>
      </c>
    </row>
    <row r="164" spans="1:34" x14ac:dyDescent="0.25">
      <c r="A164" t="s">
        <v>768</v>
      </c>
      <c r="B164" t="s">
        <v>929</v>
      </c>
      <c r="D164" t="s">
        <v>770</v>
      </c>
      <c r="E164">
        <v>163</v>
      </c>
      <c r="H164">
        <v>13011</v>
      </c>
      <c r="I164">
        <v>2</v>
      </c>
      <c r="J164" t="s">
        <v>771</v>
      </c>
      <c r="K164">
        <v>75000</v>
      </c>
      <c r="L164" t="s">
        <v>38</v>
      </c>
      <c r="M164">
        <v>48</v>
      </c>
      <c r="N164">
        <v>1311</v>
      </c>
      <c r="O164">
        <v>13</v>
      </c>
      <c r="P164">
        <v>11</v>
      </c>
      <c r="Q164">
        <v>39</v>
      </c>
      <c r="R164">
        <v>19.7</v>
      </c>
      <c r="S164">
        <v>1858</v>
      </c>
      <c r="T164">
        <v>2394</v>
      </c>
      <c r="U164" s="1">
        <v>45497</v>
      </c>
      <c r="V164" s="1">
        <v>45533</v>
      </c>
      <c r="W164">
        <v>146841</v>
      </c>
      <c r="X164">
        <v>0.96604649899999995</v>
      </c>
      <c r="Y164">
        <v>2478.1415820000002</v>
      </c>
      <c r="Z164">
        <f t="shared" si="9"/>
        <v>1.0080232494999999</v>
      </c>
      <c r="AA164">
        <f t="shared" si="10"/>
        <v>2374.945221935578</v>
      </c>
      <c r="AB164" cm="1">
        <f t="array" ref="AB164">_xlfn.IFS(X164&lt;0.6,T164,0.9&lt;X164,T164,X164,AA164)</f>
        <v>2394</v>
      </c>
      <c r="AC164">
        <v>0.98811627499999999</v>
      </c>
      <c r="AD164">
        <v>2464.6332560000001</v>
      </c>
      <c r="AE164">
        <v>2394</v>
      </c>
      <c r="AG164">
        <v>0</v>
      </c>
      <c r="AH164">
        <v>163</v>
      </c>
    </row>
    <row r="165" spans="1:34" x14ac:dyDescent="0.25">
      <c r="A165" t="s">
        <v>768</v>
      </c>
      <c r="B165" t="s">
        <v>930</v>
      </c>
      <c r="D165" t="s">
        <v>770</v>
      </c>
      <c r="E165">
        <v>164</v>
      </c>
      <c r="H165">
        <v>14011</v>
      </c>
      <c r="I165">
        <v>2</v>
      </c>
      <c r="J165" t="s">
        <v>771</v>
      </c>
      <c r="K165">
        <v>75000</v>
      </c>
      <c r="L165" t="s">
        <v>74</v>
      </c>
      <c r="M165">
        <v>46</v>
      </c>
      <c r="N165">
        <v>1411</v>
      </c>
      <c r="O165">
        <v>14</v>
      </c>
      <c r="P165">
        <v>11</v>
      </c>
      <c r="Q165">
        <v>38</v>
      </c>
      <c r="R165">
        <v>20.100000000000001</v>
      </c>
      <c r="S165">
        <v>1404</v>
      </c>
      <c r="T165">
        <v>1800</v>
      </c>
      <c r="U165" s="1">
        <v>45499</v>
      </c>
      <c r="V165" s="1">
        <v>45536</v>
      </c>
      <c r="W165">
        <v>142718</v>
      </c>
      <c r="X165">
        <v>0.93893421099999996</v>
      </c>
      <c r="Y165">
        <v>1917.067223</v>
      </c>
      <c r="Z165">
        <f t="shared" si="9"/>
        <v>0.99446710550000006</v>
      </c>
      <c r="AA165">
        <f t="shared" si="10"/>
        <v>1810.0146199355609</v>
      </c>
      <c r="AB165" cm="1">
        <f t="array" ref="AB165">_xlfn.IFS(X165&lt;0.6,T165,0.9&lt;X165,T165,X165,AA165)</f>
        <v>1800</v>
      </c>
      <c r="AC165">
        <v>0.97862697399999998</v>
      </c>
      <c r="AD165">
        <v>1897.2398820000001</v>
      </c>
      <c r="AE165">
        <v>1800</v>
      </c>
      <c r="AG165">
        <v>0</v>
      </c>
      <c r="AH165">
        <v>164</v>
      </c>
    </row>
    <row r="166" spans="1:34" x14ac:dyDescent="0.25">
      <c r="A166" t="s">
        <v>768</v>
      </c>
      <c r="B166" s="2" t="s">
        <v>931</v>
      </c>
      <c r="D166" t="s">
        <v>770</v>
      </c>
      <c r="E166">
        <v>165</v>
      </c>
      <c r="H166">
        <v>15011</v>
      </c>
      <c r="I166">
        <v>2</v>
      </c>
      <c r="J166" t="s">
        <v>771</v>
      </c>
      <c r="K166">
        <v>75000</v>
      </c>
      <c r="L166" t="s">
        <v>42</v>
      </c>
      <c r="M166">
        <v>59</v>
      </c>
      <c r="N166">
        <v>1511</v>
      </c>
      <c r="O166">
        <v>15</v>
      </c>
      <c r="P166">
        <v>11</v>
      </c>
      <c r="Q166">
        <v>48</v>
      </c>
      <c r="R166">
        <v>20</v>
      </c>
      <c r="S166">
        <v>1445</v>
      </c>
      <c r="T166">
        <v>1855</v>
      </c>
      <c r="U166" s="1">
        <v>45495</v>
      </c>
      <c r="V166" s="1">
        <v>45530</v>
      </c>
      <c r="W166">
        <v>149601</v>
      </c>
      <c r="X166">
        <v>0.98421062999999998</v>
      </c>
      <c r="Y166">
        <v>1884.759159</v>
      </c>
      <c r="Z166">
        <f t="shared" si="9"/>
        <v>1.017105315</v>
      </c>
      <c r="AA166">
        <f t="shared" si="10"/>
        <v>1823.8032705590572</v>
      </c>
      <c r="AB166" cm="1">
        <f t="array" ref="AB166">_xlfn.IFS(X166&lt;0.6,T166,0.9&lt;X166,T166,X166,AA166)</f>
        <v>1855</v>
      </c>
      <c r="AC166">
        <v>0.99447372099999998</v>
      </c>
      <c r="AD166">
        <v>1880.1514179999999</v>
      </c>
      <c r="AE166">
        <v>1855</v>
      </c>
      <c r="AG166">
        <v>0</v>
      </c>
      <c r="AH166">
        <v>165</v>
      </c>
    </row>
    <row r="167" spans="1:34" x14ac:dyDescent="0.25">
      <c r="A167" t="s">
        <v>768</v>
      </c>
      <c r="B167" t="s">
        <v>932</v>
      </c>
      <c r="D167" t="s">
        <v>770</v>
      </c>
      <c r="E167">
        <v>166</v>
      </c>
      <c r="H167">
        <v>15012</v>
      </c>
      <c r="I167">
        <v>2</v>
      </c>
      <c r="J167" t="s">
        <v>771</v>
      </c>
      <c r="K167">
        <v>150000</v>
      </c>
      <c r="L167" t="s">
        <v>70</v>
      </c>
      <c r="M167">
        <v>82</v>
      </c>
      <c r="N167">
        <v>1512</v>
      </c>
      <c r="O167">
        <v>15</v>
      </c>
      <c r="P167">
        <v>12</v>
      </c>
      <c r="Q167">
        <v>41</v>
      </c>
      <c r="R167">
        <v>18.2</v>
      </c>
      <c r="S167">
        <v>1340</v>
      </c>
      <c r="T167">
        <v>1759</v>
      </c>
      <c r="U167" s="1">
        <v>45496</v>
      </c>
      <c r="V167" s="1">
        <v>45534</v>
      </c>
      <c r="W167">
        <v>143440</v>
      </c>
      <c r="X167">
        <v>0.94367800199999996</v>
      </c>
      <c r="Y167">
        <v>1863.9832610000001</v>
      </c>
      <c r="Z167">
        <f t="shared" si="9"/>
        <v>0.996839001</v>
      </c>
      <c r="AA167">
        <f t="shared" si="10"/>
        <v>1764.5778287521075</v>
      </c>
      <c r="AB167" cm="1">
        <f t="array" ref="AB167">_xlfn.IFS(X167&lt;0.6,T167,0.9&lt;X167,T167,X167,AA167)</f>
        <v>1759</v>
      </c>
      <c r="AC167">
        <v>0.98028730100000006</v>
      </c>
      <c r="AD167">
        <v>1846.367467</v>
      </c>
      <c r="AE167">
        <v>1759</v>
      </c>
      <c r="AG167">
        <v>0</v>
      </c>
      <c r="AH167">
        <v>166</v>
      </c>
    </row>
    <row r="168" spans="1:34" x14ac:dyDescent="0.25">
      <c r="A168" t="s">
        <v>768</v>
      </c>
      <c r="B168" t="s">
        <v>933</v>
      </c>
      <c r="D168" t="s">
        <v>770</v>
      </c>
      <c r="E168">
        <v>167</v>
      </c>
      <c r="H168">
        <v>14012</v>
      </c>
      <c r="I168">
        <v>2</v>
      </c>
      <c r="J168" t="s">
        <v>771</v>
      </c>
      <c r="K168">
        <v>150000</v>
      </c>
      <c r="L168" t="s">
        <v>38</v>
      </c>
      <c r="M168">
        <v>78</v>
      </c>
      <c r="N168">
        <v>1412</v>
      </c>
      <c r="O168">
        <v>14</v>
      </c>
      <c r="P168">
        <v>12</v>
      </c>
      <c r="Q168">
        <v>40</v>
      </c>
      <c r="R168">
        <v>17.899999999999999</v>
      </c>
      <c r="S168">
        <v>2059</v>
      </c>
      <c r="T168">
        <v>2713</v>
      </c>
      <c r="U168" s="1">
        <v>45496</v>
      </c>
      <c r="V168" s="1">
        <v>45535</v>
      </c>
      <c r="W168">
        <v>149679</v>
      </c>
      <c r="X168">
        <v>0.98474322000000003</v>
      </c>
      <c r="Y168">
        <v>2755.0329299999999</v>
      </c>
      <c r="Z168">
        <f t="shared" si="9"/>
        <v>1.0173716100000001</v>
      </c>
      <c r="AA168">
        <f t="shared" si="10"/>
        <v>2666.6755523087572</v>
      </c>
      <c r="AB168" cm="1">
        <f t="array" ref="AB168">_xlfn.IFS(X168&lt;0.6,T168,0.9&lt;X168,T168,X168,AA168)</f>
        <v>2713</v>
      </c>
      <c r="AC168">
        <v>0.99466012699999995</v>
      </c>
      <c r="AD168">
        <v>2748.5317209999998</v>
      </c>
      <c r="AE168">
        <v>2713</v>
      </c>
      <c r="AG168">
        <v>0</v>
      </c>
      <c r="AH168">
        <v>167</v>
      </c>
    </row>
    <row r="169" spans="1:34" x14ac:dyDescent="0.25">
      <c r="A169" t="s">
        <v>768</v>
      </c>
      <c r="B169" t="s">
        <v>934</v>
      </c>
      <c r="D169" t="s">
        <v>770</v>
      </c>
      <c r="E169">
        <v>168</v>
      </c>
      <c r="H169">
        <v>13012</v>
      </c>
      <c r="I169">
        <v>2</v>
      </c>
      <c r="J169" t="s">
        <v>771</v>
      </c>
      <c r="K169">
        <v>150000</v>
      </c>
      <c r="L169" t="s">
        <v>74</v>
      </c>
      <c r="M169">
        <v>76</v>
      </c>
      <c r="N169">
        <v>1312</v>
      </c>
      <c r="O169">
        <v>13</v>
      </c>
      <c r="P169">
        <v>12</v>
      </c>
      <c r="Q169">
        <v>29</v>
      </c>
      <c r="R169">
        <v>21.5</v>
      </c>
      <c r="S169">
        <v>2397</v>
      </c>
      <c r="T169">
        <v>3019</v>
      </c>
      <c r="U169" s="1">
        <v>45497</v>
      </c>
      <c r="V169" s="1">
        <v>45534</v>
      </c>
      <c r="W169">
        <v>142216</v>
      </c>
      <c r="X169">
        <v>0.93563157900000005</v>
      </c>
      <c r="Y169">
        <v>3226.6974180000002</v>
      </c>
      <c r="Z169">
        <f t="shared" si="9"/>
        <v>0.99281578950000005</v>
      </c>
      <c r="AA169">
        <f t="shared" si="10"/>
        <v>3040.8460783247847</v>
      </c>
      <c r="AB169" cm="1">
        <f t="array" ref="AB169">_xlfn.IFS(X169&lt;0.6,T169,0.9&lt;X169,T169,X169,AA169)</f>
        <v>3019</v>
      </c>
      <c r="AC169">
        <v>0.97747105300000003</v>
      </c>
      <c r="AD169">
        <v>3191.2917170000001</v>
      </c>
      <c r="AE169">
        <v>3019</v>
      </c>
      <c r="AG169">
        <v>0</v>
      </c>
      <c r="AH169">
        <v>168</v>
      </c>
    </row>
    <row r="170" spans="1:34" x14ac:dyDescent="0.25">
      <c r="A170" t="s">
        <v>768</v>
      </c>
      <c r="B170" t="s">
        <v>935</v>
      </c>
      <c r="D170" t="s">
        <v>770</v>
      </c>
      <c r="E170">
        <v>169</v>
      </c>
      <c r="H170">
        <v>12012</v>
      </c>
      <c r="I170">
        <v>2</v>
      </c>
      <c r="J170" t="s">
        <v>771</v>
      </c>
      <c r="K170">
        <v>150000</v>
      </c>
      <c r="L170" t="s">
        <v>54</v>
      </c>
      <c r="M170">
        <v>85</v>
      </c>
      <c r="N170">
        <v>1212</v>
      </c>
      <c r="O170">
        <v>12</v>
      </c>
      <c r="P170">
        <v>12</v>
      </c>
      <c r="Q170">
        <v>57</v>
      </c>
      <c r="R170">
        <v>20.399999999999999</v>
      </c>
      <c r="S170">
        <v>971</v>
      </c>
      <c r="T170">
        <v>1240</v>
      </c>
      <c r="U170" s="1">
        <v>45489</v>
      </c>
      <c r="V170" s="1">
        <v>45528</v>
      </c>
      <c r="W170">
        <v>151990</v>
      </c>
      <c r="X170">
        <v>0.99992763200000001</v>
      </c>
      <c r="Y170">
        <v>1240.089743</v>
      </c>
      <c r="Z170">
        <f t="shared" si="9"/>
        <v>1.0249638160000001</v>
      </c>
      <c r="AA170">
        <f t="shared" si="10"/>
        <v>1209.7988052292374</v>
      </c>
      <c r="AB170" cm="1">
        <f t="array" ref="AB170">_xlfn.IFS(X170&lt;0.6,T170,0.9&lt;X170,T170,X170,AA170)</f>
        <v>1240</v>
      </c>
      <c r="AC170">
        <v>0.99997467100000004</v>
      </c>
      <c r="AD170">
        <v>1240.07628</v>
      </c>
      <c r="AE170">
        <v>1240</v>
      </c>
      <c r="AG170">
        <v>0</v>
      </c>
      <c r="AH170">
        <v>169</v>
      </c>
    </row>
    <row r="171" spans="1:34" x14ac:dyDescent="0.25">
      <c r="A171" t="s">
        <v>768</v>
      </c>
      <c r="B171" t="s">
        <v>936</v>
      </c>
      <c r="D171" t="s">
        <v>770</v>
      </c>
      <c r="E171">
        <v>170</v>
      </c>
      <c r="H171">
        <v>11012</v>
      </c>
      <c r="I171">
        <v>2</v>
      </c>
      <c r="J171" t="s">
        <v>771</v>
      </c>
      <c r="K171">
        <v>150000</v>
      </c>
      <c r="L171" t="s">
        <v>78</v>
      </c>
      <c r="M171">
        <v>81</v>
      </c>
      <c r="N171">
        <v>1112</v>
      </c>
      <c r="O171">
        <v>11</v>
      </c>
      <c r="P171">
        <v>12</v>
      </c>
      <c r="Q171">
        <v>53</v>
      </c>
      <c r="R171">
        <v>17.8</v>
      </c>
      <c r="S171">
        <v>815</v>
      </c>
      <c r="T171">
        <v>1075</v>
      </c>
      <c r="U171" s="1">
        <v>45492</v>
      </c>
      <c r="V171" s="1">
        <v>45525</v>
      </c>
      <c r="W171">
        <v>137672</v>
      </c>
      <c r="X171">
        <v>0.90573684200000004</v>
      </c>
      <c r="Y171">
        <v>1186.8789589999999</v>
      </c>
      <c r="Z171">
        <f t="shared" si="9"/>
        <v>0.97786842100000004</v>
      </c>
      <c r="AA171">
        <f t="shared" si="10"/>
        <v>1099.3299066766774</v>
      </c>
      <c r="AB171" cm="1">
        <f t="array" ref="AB171">_xlfn.IFS(X171&lt;0.6,T171,0.9&lt;X171,T171,X171,AA171)</f>
        <v>1075</v>
      </c>
      <c r="AC171">
        <v>0.96700789499999995</v>
      </c>
      <c r="AD171">
        <v>1166.6632300000001</v>
      </c>
      <c r="AE171">
        <v>1075</v>
      </c>
      <c r="AG171">
        <v>0</v>
      </c>
      <c r="AH171">
        <v>170</v>
      </c>
    </row>
    <row r="172" spans="1:34" x14ac:dyDescent="0.25">
      <c r="A172" t="s">
        <v>768</v>
      </c>
      <c r="B172" t="s">
        <v>937</v>
      </c>
      <c r="D172" t="s">
        <v>770</v>
      </c>
      <c r="E172">
        <v>171</v>
      </c>
      <c r="H172">
        <v>10012</v>
      </c>
      <c r="I172">
        <v>2</v>
      </c>
      <c r="J172" t="s">
        <v>771</v>
      </c>
      <c r="K172">
        <v>150000</v>
      </c>
      <c r="L172" t="s">
        <v>30</v>
      </c>
      <c r="M172">
        <v>90</v>
      </c>
      <c r="N172">
        <v>1012</v>
      </c>
      <c r="O172">
        <v>10</v>
      </c>
      <c r="P172">
        <v>12</v>
      </c>
      <c r="Q172">
        <v>26</v>
      </c>
      <c r="R172">
        <v>18.5</v>
      </c>
      <c r="S172">
        <v>2202</v>
      </c>
      <c r="T172">
        <v>2880</v>
      </c>
      <c r="U172" s="1">
        <v>45497</v>
      </c>
      <c r="V172" s="1">
        <v>45532</v>
      </c>
      <c r="W172">
        <v>149619</v>
      </c>
      <c r="X172">
        <v>0.98433552599999996</v>
      </c>
      <c r="Y172">
        <v>2925.831612</v>
      </c>
      <c r="Z172">
        <f t="shared" si="9"/>
        <v>1.017167763</v>
      </c>
      <c r="AA172">
        <f t="shared" si="10"/>
        <v>2831.3913444384298</v>
      </c>
      <c r="AB172" cm="1">
        <f t="array" ref="AB172">_xlfn.IFS(X172&lt;0.6,T172,0.9&lt;X172,T172,X172,AA172)</f>
        <v>2880</v>
      </c>
      <c r="AC172">
        <v>0.99451743400000003</v>
      </c>
      <c r="AD172">
        <v>2918.7370759999999</v>
      </c>
      <c r="AE172">
        <v>2880</v>
      </c>
      <c r="AG172">
        <v>0</v>
      </c>
      <c r="AH172">
        <v>171</v>
      </c>
    </row>
    <row r="173" spans="1:34" x14ac:dyDescent="0.25">
      <c r="A173" t="s">
        <v>768</v>
      </c>
      <c r="B173" t="s">
        <v>938</v>
      </c>
      <c r="D173" t="s">
        <v>770</v>
      </c>
      <c r="E173">
        <v>172</v>
      </c>
      <c r="H173">
        <v>9012</v>
      </c>
      <c r="I173">
        <v>2</v>
      </c>
      <c r="J173" t="s">
        <v>771</v>
      </c>
      <c r="K173">
        <v>150000</v>
      </c>
      <c r="L173" t="s">
        <v>62</v>
      </c>
      <c r="M173">
        <v>88</v>
      </c>
      <c r="N173">
        <v>912</v>
      </c>
      <c r="O173">
        <v>9</v>
      </c>
      <c r="P173">
        <v>12</v>
      </c>
      <c r="Q173">
        <v>26</v>
      </c>
      <c r="R173">
        <v>20.399999999999999</v>
      </c>
      <c r="S173">
        <v>1960</v>
      </c>
      <c r="T173">
        <v>2503</v>
      </c>
      <c r="U173" s="1">
        <v>45497</v>
      </c>
      <c r="V173" s="1">
        <v>45534</v>
      </c>
      <c r="W173">
        <v>141286</v>
      </c>
      <c r="X173">
        <v>0.92950704299999998</v>
      </c>
      <c r="Y173">
        <v>2692.8252130000001</v>
      </c>
      <c r="Z173">
        <f t="shared" ref="Z173:Z236" si="11">1-((0.95-X173)*0.5)</f>
        <v>0.98975352149999996</v>
      </c>
      <c r="AA173">
        <f t="shared" ref="AA173:AA236" si="12">T173/Z173</f>
        <v>2528.9124470167394</v>
      </c>
      <c r="AB173" cm="1">
        <f t="array" ref="AB173">_xlfn.IFS(X173&lt;0.6,T173,0.9&lt;X173,T173,X173,AA173)</f>
        <v>2503</v>
      </c>
      <c r="AC173">
        <v>0.975327465</v>
      </c>
      <c r="AD173">
        <v>2660.075867</v>
      </c>
      <c r="AE173">
        <v>2503</v>
      </c>
      <c r="AG173">
        <v>0</v>
      </c>
      <c r="AH173">
        <v>172</v>
      </c>
    </row>
    <row r="174" spans="1:34" x14ac:dyDescent="0.25">
      <c r="A174" t="s">
        <v>768</v>
      </c>
      <c r="B174" t="s">
        <v>939</v>
      </c>
      <c r="D174" t="s">
        <v>770</v>
      </c>
      <c r="E174">
        <v>173</v>
      </c>
      <c r="H174">
        <v>8012</v>
      </c>
      <c r="I174">
        <v>2</v>
      </c>
      <c r="J174" t="s">
        <v>771</v>
      </c>
      <c r="K174">
        <v>150000</v>
      </c>
      <c r="L174" t="s">
        <v>26</v>
      </c>
      <c r="M174">
        <v>83</v>
      </c>
      <c r="N174">
        <v>812</v>
      </c>
      <c r="O174">
        <v>8</v>
      </c>
      <c r="P174">
        <v>12</v>
      </c>
      <c r="Q174">
        <v>24</v>
      </c>
      <c r="R174">
        <v>20.5</v>
      </c>
      <c r="S174">
        <v>2112</v>
      </c>
      <c r="T174">
        <v>2694</v>
      </c>
      <c r="U174" s="1">
        <v>45494</v>
      </c>
      <c r="V174" s="1">
        <v>45533</v>
      </c>
      <c r="W174">
        <v>144687</v>
      </c>
      <c r="X174">
        <v>0.95188189599999995</v>
      </c>
      <c r="Y174">
        <v>2830.183043</v>
      </c>
      <c r="Z174">
        <f t="shared" si="11"/>
        <v>1.000940948</v>
      </c>
      <c r="AA174">
        <f t="shared" si="12"/>
        <v>2691.4674690679153</v>
      </c>
      <c r="AB174" cm="1">
        <f t="array" ref="AB174">_xlfn.IFS(X174&lt;0.6,T174,0.9&lt;X174,T174,X174,AA174)</f>
        <v>2694</v>
      </c>
      <c r="AC174">
        <v>0.98315866399999996</v>
      </c>
      <c r="AD174">
        <v>2807.6983100000002</v>
      </c>
      <c r="AE174">
        <v>2694</v>
      </c>
      <c r="AG174">
        <v>0</v>
      </c>
      <c r="AH174">
        <v>173</v>
      </c>
    </row>
    <row r="175" spans="1:34" x14ac:dyDescent="0.25">
      <c r="A175" t="s">
        <v>768</v>
      </c>
      <c r="B175" t="s">
        <v>940</v>
      </c>
      <c r="D175" t="s">
        <v>770</v>
      </c>
      <c r="E175">
        <v>174</v>
      </c>
      <c r="H175">
        <v>7012</v>
      </c>
      <c r="I175">
        <v>2</v>
      </c>
      <c r="J175" t="s">
        <v>771</v>
      </c>
      <c r="K175">
        <v>150000</v>
      </c>
      <c r="L175" t="s">
        <v>80</v>
      </c>
      <c r="M175">
        <v>77</v>
      </c>
      <c r="N175">
        <v>712</v>
      </c>
      <c r="O175">
        <v>7</v>
      </c>
      <c r="P175">
        <v>12</v>
      </c>
      <c r="Q175">
        <v>27</v>
      </c>
      <c r="R175">
        <v>18.5</v>
      </c>
      <c r="S175">
        <v>2396</v>
      </c>
      <c r="T175">
        <v>3133</v>
      </c>
      <c r="U175" s="1">
        <v>45498</v>
      </c>
      <c r="V175" s="1">
        <v>45536</v>
      </c>
      <c r="W175">
        <v>151792</v>
      </c>
      <c r="X175">
        <v>0.99862500899999995</v>
      </c>
      <c r="Y175">
        <v>3137.3137780000002</v>
      </c>
      <c r="Z175">
        <f t="shared" si="11"/>
        <v>1.0243125045000001</v>
      </c>
      <c r="AA175">
        <f t="shared" si="12"/>
        <v>3058.6368771601769</v>
      </c>
      <c r="AB175" cm="1">
        <f t="array" ref="AB175">_xlfn.IFS(X175&lt;0.6,T175,0.9&lt;X175,T175,X175,AA175)</f>
        <v>3133</v>
      </c>
      <c r="AC175">
        <v>0.99951875300000004</v>
      </c>
      <c r="AD175">
        <v>3136.6649149999998</v>
      </c>
      <c r="AE175">
        <v>3133</v>
      </c>
      <c r="AG175">
        <v>0</v>
      </c>
      <c r="AH175">
        <v>174</v>
      </c>
    </row>
    <row r="176" spans="1:34" x14ac:dyDescent="0.25">
      <c r="A176" t="s">
        <v>768</v>
      </c>
      <c r="B176" t="s">
        <v>941</v>
      </c>
      <c r="D176" t="s">
        <v>770</v>
      </c>
      <c r="E176">
        <v>175</v>
      </c>
      <c r="H176">
        <v>6012</v>
      </c>
      <c r="I176">
        <v>2</v>
      </c>
      <c r="J176" t="s">
        <v>771</v>
      </c>
      <c r="K176">
        <v>150000</v>
      </c>
      <c r="L176" t="s">
        <v>58</v>
      </c>
      <c r="M176">
        <v>84</v>
      </c>
      <c r="N176">
        <v>612</v>
      </c>
      <c r="O176">
        <v>6</v>
      </c>
      <c r="P176">
        <v>12</v>
      </c>
      <c r="Q176">
        <v>64</v>
      </c>
      <c r="R176">
        <v>19.7</v>
      </c>
      <c r="S176">
        <v>766</v>
      </c>
      <c r="T176">
        <v>987</v>
      </c>
      <c r="U176" s="1">
        <v>45489</v>
      </c>
      <c r="V176" s="1">
        <v>45524</v>
      </c>
      <c r="W176">
        <v>151523</v>
      </c>
      <c r="X176">
        <v>0.99686184200000005</v>
      </c>
      <c r="Y176">
        <v>990.10711249999997</v>
      </c>
      <c r="Z176">
        <f t="shared" si="11"/>
        <v>1.0234309210000001</v>
      </c>
      <c r="AA176">
        <f t="shared" si="12"/>
        <v>964.40314607223002</v>
      </c>
      <c r="AB176" cm="1">
        <f t="array" ref="AB176">_xlfn.IFS(X176&lt;0.6,T176,0.9&lt;X176,T176,X176,AA176)</f>
        <v>987</v>
      </c>
      <c r="AC176">
        <v>0.998901645</v>
      </c>
      <c r="AD176">
        <v>989.63808900000004</v>
      </c>
      <c r="AE176">
        <v>987</v>
      </c>
      <c r="AG176">
        <v>0</v>
      </c>
      <c r="AH176">
        <v>175</v>
      </c>
    </row>
    <row r="177" spans="1:34" x14ac:dyDescent="0.25">
      <c r="A177" t="s">
        <v>768</v>
      </c>
      <c r="B177" t="s">
        <v>942</v>
      </c>
      <c r="D177" t="s">
        <v>770</v>
      </c>
      <c r="E177">
        <v>176</v>
      </c>
      <c r="H177">
        <v>5012</v>
      </c>
      <c r="I177">
        <v>2</v>
      </c>
      <c r="J177" t="s">
        <v>771</v>
      </c>
      <c r="K177">
        <v>150000</v>
      </c>
      <c r="L177" t="s">
        <v>34</v>
      </c>
      <c r="M177">
        <v>86</v>
      </c>
      <c r="N177">
        <v>512</v>
      </c>
      <c r="O177">
        <v>5</v>
      </c>
      <c r="P177">
        <v>12</v>
      </c>
      <c r="Q177">
        <v>58</v>
      </c>
      <c r="R177">
        <v>20</v>
      </c>
      <c r="S177">
        <v>867</v>
      </c>
      <c r="T177">
        <v>1113</v>
      </c>
      <c r="U177" s="1">
        <v>45491</v>
      </c>
      <c r="V177" s="1">
        <v>45525</v>
      </c>
      <c r="W177">
        <v>148921</v>
      </c>
      <c r="X177">
        <v>0.979743421</v>
      </c>
      <c r="Y177">
        <v>1136.0117110000001</v>
      </c>
      <c r="Z177">
        <f t="shared" si="11"/>
        <v>1.0148717105</v>
      </c>
      <c r="AA177">
        <f t="shared" si="12"/>
        <v>1096.690338773612</v>
      </c>
      <c r="AB177" cm="1">
        <f t="array" ref="AB177">_xlfn.IFS(X177&lt;0.6,T177,0.9&lt;X177,T177,X177,AA177)</f>
        <v>1113</v>
      </c>
      <c r="AC177">
        <v>0.99291019700000005</v>
      </c>
      <c r="AD177">
        <v>1132.416739</v>
      </c>
      <c r="AE177">
        <v>1113</v>
      </c>
      <c r="AG177">
        <v>0</v>
      </c>
      <c r="AH177">
        <v>176</v>
      </c>
    </row>
    <row r="178" spans="1:34" x14ac:dyDescent="0.25">
      <c r="A178" t="s">
        <v>768</v>
      </c>
      <c r="B178" t="s">
        <v>943</v>
      </c>
      <c r="D178" t="s">
        <v>770</v>
      </c>
      <c r="E178">
        <v>177</v>
      </c>
      <c r="H178">
        <v>4012</v>
      </c>
      <c r="I178">
        <v>2</v>
      </c>
      <c r="J178" t="s">
        <v>771</v>
      </c>
      <c r="K178">
        <v>150000</v>
      </c>
      <c r="L178" t="s">
        <v>50</v>
      </c>
      <c r="M178">
        <v>79</v>
      </c>
      <c r="N178">
        <v>412</v>
      </c>
      <c r="O178">
        <v>4</v>
      </c>
      <c r="P178">
        <v>12</v>
      </c>
      <c r="Q178">
        <v>68</v>
      </c>
      <c r="R178">
        <v>20.8</v>
      </c>
      <c r="S178">
        <v>1144</v>
      </c>
      <c r="T178">
        <v>1454</v>
      </c>
      <c r="U178" s="1">
        <v>45495</v>
      </c>
      <c r="V178" s="1">
        <v>45537</v>
      </c>
      <c r="W178">
        <v>151957</v>
      </c>
      <c r="X178">
        <v>0.99972368199999995</v>
      </c>
      <c r="Y178">
        <v>1454.401877</v>
      </c>
      <c r="Z178">
        <f t="shared" si="11"/>
        <v>1.0248618409999999</v>
      </c>
      <c r="AA178">
        <f t="shared" si="12"/>
        <v>1418.727814649897</v>
      </c>
      <c r="AB178" cm="1">
        <f t="array" ref="AB178">_xlfn.IFS(X178&lt;0.6,T178,0.9&lt;X178,T178,X178,AA178)</f>
        <v>1454</v>
      </c>
      <c r="AC178">
        <v>0.99990328900000003</v>
      </c>
      <c r="AD178">
        <v>1454.3415620000001</v>
      </c>
      <c r="AE178">
        <v>1454</v>
      </c>
      <c r="AG178">
        <v>0</v>
      </c>
      <c r="AH178">
        <v>177</v>
      </c>
    </row>
    <row r="179" spans="1:34" x14ac:dyDescent="0.25">
      <c r="A179" t="s">
        <v>768</v>
      </c>
      <c r="B179" t="s">
        <v>944</v>
      </c>
      <c r="D179" t="s">
        <v>770</v>
      </c>
      <c r="E179">
        <v>178</v>
      </c>
      <c r="H179">
        <v>3012</v>
      </c>
      <c r="I179">
        <v>2</v>
      </c>
      <c r="J179" t="s">
        <v>771</v>
      </c>
      <c r="K179">
        <v>150000</v>
      </c>
      <c r="L179" t="s">
        <v>42</v>
      </c>
      <c r="M179">
        <v>89</v>
      </c>
      <c r="N179">
        <v>312</v>
      </c>
      <c r="O179">
        <v>3</v>
      </c>
      <c r="P179">
        <v>12</v>
      </c>
      <c r="Q179">
        <v>42</v>
      </c>
      <c r="R179">
        <v>19.2</v>
      </c>
      <c r="S179">
        <v>1618</v>
      </c>
      <c r="T179">
        <v>2098</v>
      </c>
      <c r="U179" s="1">
        <v>45492</v>
      </c>
      <c r="V179" s="1">
        <v>45526</v>
      </c>
      <c r="W179">
        <v>150232</v>
      </c>
      <c r="X179">
        <v>0.988368421</v>
      </c>
      <c r="Y179">
        <v>2122.690239</v>
      </c>
      <c r="Z179">
        <f t="shared" si="11"/>
        <v>1.0191842105</v>
      </c>
      <c r="AA179">
        <f t="shared" si="12"/>
        <v>2058.5091275803279</v>
      </c>
      <c r="AB179" cm="1">
        <f t="array" ref="AB179">_xlfn.IFS(X179&lt;0.6,T179,0.9&lt;X179,T179,X179,AA179)</f>
        <v>2098</v>
      </c>
      <c r="AC179">
        <v>0.99592894700000001</v>
      </c>
      <c r="AD179">
        <v>2118.8990530000001</v>
      </c>
      <c r="AE179">
        <v>2098</v>
      </c>
      <c r="AG179">
        <v>0</v>
      </c>
      <c r="AH179">
        <v>178</v>
      </c>
    </row>
    <row r="180" spans="1:34" x14ac:dyDescent="0.25">
      <c r="A180" t="s">
        <v>768</v>
      </c>
      <c r="B180" t="s">
        <v>945</v>
      </c>
      <c r="D180" t="s">
        <v>770</v>
      </c>
      <c r="E180">
        <v>179</v>
      </c>
      <c r="H180">
        <v>2012</v>
      </c>
      <c r="I180">
        <v>2</v>
      </c>
      <c r="J180" t="s">
        <v>771</v>
      </c>
      <c r="K180">
        <v>150000</v>
      </c>
      <c r="L180" t="s">
        <v>46</v>
      </c>
      <c r="M180">
        <v>80</v>
      </c>
      <c r="N180">
        <v>212</v>
      </c>
      <c r="O180">
        <v>2</v>
      </c>
      <c r="P180">
        <v>12</v>
      </c>
      <c r="Q180">
        <v>43</v>
      </c>
      <c r="R180">
        <v>17.2</v>
      </c>
      <c r="S180">
        <v>1946</v>
      </c>
      <c r="T180">
        <v>2586</v>
      </c>
      <c r="U180" s="1">
        <v>45493</v>
      </c>
      <c r="V180" s="1">
        <v>45530</v>
      </c>
      <c r="W180">
        <v>151987</v>
      </c>
      <c r="X180">
        <v>0.999914474</v>
      </c>
      <c r="Y180">
        <v>2586.2211900000002</v>
      </c>
      <c r="Z180">
        <f t="shared" si="11"/>
        <v>1.024957237</v>
      </c>
      <c r="AA180">
        <f t="shared" si="12"/>
        <v>2523.0320901670943</v>
      </c>
      <c r="AB180" cm="1">
        <f t="array" ref="AB180">_xlfn.IFS(X180&lt;0.6,T180,0.9&lt;X180,T180,X180,AA180)</f>
        <v>2586</v>
      </c>
      <c r="AC180">
        <v>0.99997006600000005</v>
      </c>
      <c r="AD180">
        <v>2586.188005</v>
      </c>
      <c r="AE180">
        <v>2586</v>
      </c>
      <c r="AG180">
        <v>0</v>
      </c>
      <c r="AH180">
        <v>179</v>
      </c>
    </row>
    <row r="181" spans="1:34" x14ac:dyDescent="0.25">
      <c r="A181" t="s">
        <v>768</v>
      </c>
      <c r="B181" t="s">
        <v>946</v>
      </c>
      <c r="D181" t="s">
        <v>770</v>
      </c>
      <c r="E181">
        <v>180</v>
      </c>
      <c r="H181">
        <v>1012</v>
      </c>
      <c r="I181">
        <v>2</v>
      </c>
      <c r="J181" t="s">
        <v>771</v>
      </c>
      <c r="K181">
        <v>150000</v>
      </c>
      <c r="L181" t="s">
        <v>66</v>
      </c>
      <c r="M181">
        <v>87</v>
      </c>
      <c r="N181">
        <v>112</v>
      </c>
      <c r="O181">
        <v>1</v>
      </c>
      <c r="P181">
        <v>12</v>
      </c>
      <c r="Q181">
        <v>74</v>
      </c>
      <c r="R181">
        <v>24.2</v>
      </c>
      <c r="S181">
        <v>889</v>
      </c>
      <c r="T181">
        <v>1081</v>
      </c>
      <c r="U181" s="1">
        <v>45492</v>
      </c>
      <c r="W181">
        <v>151415</v>
      </c>
      <c r="X181">
        <v>0.99617097700000001</v>
      </c>
      <c r="Y181">
        <v>1085.155084</v>
      </c>
      <c r="Z181">
        <f t="shared" si="11"/>
        <v>1.0230854885</v>
      </c>
      <c r="AA181">
        <f t="shared" si="12"/>
        <v>1056.6076952033711</v>
      </c>
      <c r="AB181" cm="1">
        <f t="array" ref="AB181">_xlfn.IFS(X181&lt;0.6,T181,0.9&lt;X181,T181,X181,AA181)</f>
        <v>1081</v>
      </c>
      <c r="AC181">
        <v>0.99865984200000002</v>
      </c>
      <c r="AD181">
        <v>1084.5269949999999</v>
      </c>
      <c r="AE181">
        <v>1081</v>
      </c>
      <c r="AG181">
        <v>0</v>
      </c>
      <c r="AH181">
        <v>180</v>
      </c>
    </row>
    <row r="182" spans="1:34" x14ac:dyDescent="0.25">
      <c r="A182" t="s">
        <v>768</v>
      </c>
      <c r="B182" t="s">
        <v>947</v>
      </c>
      <c r="D182" t="s">
        <v>770</v>
      </c>
      <c r="E182">
        <v>181</v>
      </c>
      <c r="H182">
        <v>1013</v>
      </c>
      <c r="I182">
        <v>3</v>
      </c>
      <c r="J182" t="s">
        <v>25</v>
      </c>
      <c r="K182">
        <v>150000</v>
      </c>
      <c r="L182" t="s">
        <v>54</v>
      </c>
      <c r="M182">
        <v>40</v>
      </c>
      <c r="N182">
        <v>113</v>
      </c>
      <c r="O182">
        <v>1</v>
      </c>
      <c r="P182">
        <v>13</v>
      </c>
      <c r="Q182">
        <v>60</v>
      </c>
      <c r="R182">
        <v>20.2</v>
      </c>
      <c r="S182">
        <v>454</v>
      </c>
      <c r="T182">
        <v>581</v>
      </c>
      <c r="U182" s="1">
        <v>45490</v>
      </c>
      <c r="V182" s="1">
        <v>45525</v>
      </c>
      <c r="W182">
        <v>126862</v>
      </c>
      <c r="X182">
        <v>0.98479427500000005</v>
      </c>
      <c r="Y182">
        <v>696.13107939999998</v>
      </c>
      <c r="Z182">
        <f t="shared" si="11"/>
        <v>1.0173971375000002</v>
      </c>
      <c r="AA182">
        <f t="shared" si="12"/>
        <v>571.06510190078052</v>
      </c>
      <c r="AB182" cm="1">
        <f t="array" ref="AB182">_xlfn.IFS(X182&lt;0.6,T182,0.9&lt;X182,T182,X182,AA182)</f>
        <v>581</v>
      </c>
      <c r="AC182">
        <v>0.99467799599999995</v>
      </c>
      <c r="AD182">
        <v>636.76497510000002</v>
      </c>
      <c r="AE182">
        <v>581</v>
      </c>
      <c r="AG182">
        <v>0</v>
      </c>
      <c r="AH182">
        <v>181</v>
      </c>
    </row>
    <row r="183" spans="1:34" x14ac:dyDescent="0.25">
      <c r="A183" t="s">
        <v>768</v>
      </c>
      <c r="B183" t="s">
        <v>948</v>
      </c>
      <c r="D183" t="s">
        <v>770</v>
      </c>
      <c r="E183">
        <v>182</v>
      </c>
      <c r="H183">
        <v>2013</v>
      </c>
      <c r="I183">
        <v>3</v>
      </c>
      <c r="J183" t="s">
        <v>25</v>
      </c>
      <c r="K183">
        <v>150000</v>
      </c>
      <c r="L183" t="s">
        <v>30</v>
      </c>
      <c r="M183">
        <v>45</v>
      </c>
      <c r="N183">
        <v>213</v>
      </c>
      <c r="O183">
        <v>2</v>
      </c>
      <c r="P183">
        <v>13</v>
      </c>
      <c r="Q183">
        <v>40</v>
      </c>
      <c r="R183">
        <v>19.100000000000001</v>
      </c>
      <c r="S183">
        <v>1515</v>
      </c>
      <c r="T183">
        <v>1967</v>
      </c>
      <c r="U183" s="1">
        <v>45493</v>
      </c>
      <c r="V183" s="1">
        <v>45533</v>
      </c>
      <c r="W183">
        <v>122395</v>
      </c>
      <c r="X183">
        <v>0.85062611799999999</v>
      </c>
      <c r="Y183">
        <v>2442.7473829999999</v>
      </c>
      <c r="Z183">
        <f t="shared" si="11"/>
        <v>0.95031305899999996</v>
      </c>
      <c r="AA183">
        <f t="shared" si="12"/>
        <v>2069.8442280376998</v>
      </c>
      <c r="AB183" cm="1">
        <f t="array" ref="AB183">_xlfn.IFS(X183&lt;0.6,T183,0.9&lt;X183,T183,X183,AA183)</f>
        <v>2069.8442280376998</v>
      </c>
      <c r="AC183">
        <v>0.94771914099999999</v>
      </c>
      <c r="AD183">
        <v>2299.42659</v>
      </c>
      <c r="AE183">
        <v>2299.42659</v>
      </c>
      <c r="AG183">
        <v>0</v>
      </c>
      <c r="AH183">
        <v>182</v>
      </c>
    </row>
    <row r="184" spans="1:34" x14ac:dyDescent="0.25">
      <c r="A184" t="s">
        <v>768</v>
      </c>
      <c r="B184" t="s">
        <v>949</v>
      </c>
      <c r="D184" t="s">
        <v>770</v>
      </c>
      <c r="E184">
        <v>183</v>
      </c>
      <c r="H184">
        <v>3013</v>
      </c>
      <c r="I184">
        <v>3</v>
      </c>
      <c r="J184" t="s">
        <v>25</v>
      </c>
      <c r="K184">
        <v>150000</v>
      </c>
      <c r="L184" t="s">
        <v>74</v>
      </c>
      <c r="M184">
        <v>31</v>
      </c>
      <c r="N184">
        <v>313</v>
      </c>
      <c r="O184">
        <v>3</v>
      </c>
      <c r="P184">
        <v>13</v>
      </c>
      <c r="Q184">
        <v>28</v>
      </c>
      <c r="R184">
        <v>20</v>
      </c>
      <c r="S184">
        <v>2126</v>
      </c>
      <c r="T184">
        <v>2729</v>
      </c>
      <c r="U184" s="1">
        <v>45494</v>
      </c>
      <c r="V184" s="1">
        <v>45536</v>
      </c>
      <c r="W184">
        <v>125482</v>
      </c>
      <c r="X184">
        <v>0.89562890299999998</v>
      </c>
      <c r="Y184">
        <v>3305.7606510000001</v>
      </c>
      <c r="Z184">
        <f t="shared" si="11"/>
        <v>0.97281445150000001</v>
      </c>
      <c r="AA184">
        <f t="shared" si="12"/>
        <v>2805.2626025364921</v>
      </c>
      <c r="AB184" cm="1">
        <f t="array" ref="AB184">_xlfn.IFS(X184&lt;0.6,T184,0.9&lt;X184,T184,X184,AA184)</f>
        <v>2805.2626025364921</v>
      </c>
      <c r="AC184">
        <v>0.96347011599999999</v>
      </c>
      <c r="AD184">
        <v>3103.1776500000001</v>
      </c>
      <c r="AE184">
        <v>3103.1776500000001</v>
      </c>
      <c r="AG184">
        <v>0</v>
      </c>
      <c r="AH184">
        <v>183</v>
      </c>
    </row>
    <row r="185" spans="1:34" x14ac:dyDescent="0.25">
      <c r="A185" t="s">
        <v>768</v>
      </c>
      <c r="B185" t="s">
        <v>950</v>
      </c>
      <c r="D185" t="s">
        <v>770</v>
      </c>
      <c r="E185">
        <v>184</v>
      </c>
      <c r="H185">
        <v>4013</v>
      </c>
      <c r="I185">
        <v>3</v>
      </c>
      <c r="J185" t="s">
        <v>25</v>
      </c>
      <c r="K185">
        <v>150000</v>
      </c>
      <c r="L185" t="s">
        <v>70</v>
      </c>
      <c r="M185">
        <v>37</v>
      </c>
      <c r="N185">
        <v>413</v>
      </c>
      <c r="O185">
        <v>4</v>
      </c>
      <c r="P185">
        <v>13</v>
      </c>
      <c r="Q185">
        <v>41</v>
      </c>
      <c r="R185">
        <v>20.2</v>
      </c>
      <c r="S185">
        <v>1541</v>
      </c>
      <c r="T185">
        <v>1973</v>
      </c>
      <c r="U185" s="1">
        <v>45497</v>
      </c>
      <c r="V185" s="1">
        <v>45536</v>
      </c>
      <c r="W185">
        <v>102344</v>
      </c>
      <c r="X185">
        <v>0.64642857099999995</v>
      </c>
      <c r="Y185">
        <v>2930.293647</v>
      </c>
      <c r="Z185">
        <f t="shared" si="11"/>
        <v>0.8482142855</v>
      </c>
      <c r="AA185">
        <f t="shared" si="12"/>
        <v>2326.0631584823736</v>
      </c>
      <c r="AB185" cm="1">
        <f t="array" ref="AB185">_xlfn.IFS(X185&lt;0.6,T185,0.9&lt;X185,T185,X185,AA185)</f>
        <v>2326.0631584823736</v>
      </c>
      <c r="AC185">
        <v>0.87624999999999997</v>
      </c>
      <c r="AD185">
        <v>2691.239141</v>
      </c>
      <c r="AE185">
        <v>2691.239141</v>
      </c>
      <c r="AG185">
        <v>0</v>
      </c>
      <c r="AH185">
        <v>184</v>
      </c>
    </row>
    <row r="186" spans="1:34" x14ac:dyDescent="0.25">
      <c r="A186" t="s">
        <v>768</v>
      </c>
      <c r="B186" t="s">
        <v>951</v>
      </c>
      <c r="D186" t="s">
        <v>770</v>
      </c>
      <c r="E186">
        <v>185</v>
      </c>
      <c r="H186">
        <v>5013</v>
      </c>
      <c r="I186">
        <v>3</v>
      </c>
      <c r="J186" t="s">
        <v>25</v>
      </c>
      <c r="K186">
        <v>150000</v>
      </c>
      <c r="L186" t="s">
        <v>58</v>
      </c>
      <c r="M186">
        <v>39</v>
      </c>
      <c r="N186">
        <v>513</v>
      </c>
      <c r="O186">
        <v>5</v>
      </c>
      <c r="P186">
        <v>13</v>
      </c>
      <c r="Q186">
        <v>62</v>
      </c>
      <c r="R186">
        <v>18.100000000000001</v>
      </c>
      <c r="S186">
        <v>441</v>
      </c>
      <c r="T186">
        <v>580</v>
      </c>
      <c r="U186" s="1">
        <v>45490</v>
      </c>
      <c r="V186" s="1">
        <v>45524</v>
      </c>
      <c r="W186">
        <v>126287</v>
      </c>
      <c r="X186">
        <v>0.96969696999999999</v>
      </c>
      <c r="Y186">
        <v>698.1016257</v>
      </c>
      <c r="Z186">
        <f t="shared" si="11"/>
        <v>1.009848485</v>
      </c>
      <c r="AA186">
        <f t="shared" si="12"/>
        <v>574.34358581030108</v>
      </c>
      <c r="AB186" cm="1">
        <f t="array" ref="AB186">_xlfn.IFS(X186&lt;0.6,T186,0.9&lt;X186,T186,X186,AA186)</f>
        <v>580</v>
      </c>
      <c r="AC186">
        <v>0.98939394000000003</v>
      </c>
      <c r="AD186">
        <v>640.38626060000001</v>
      </c>
      <c r="AE186">
        <v>580</v>
      </c>
      <c r="AG186">
        <v>0</v>
      </c>
      <c r="AH186">
        <v>185</v>
      </c>
    </row>
    <row r="187" spans="1:34" x14ac:dyDescent="0.25">
      <c r="A187" t="s">
        <v>768</v>
      </c>
      <c r="B187" t="s">
        <v>952</v>
      </c>
      <c r="D187" t="s">
        <v>770</v>
      </c>
      <c r="E187">
        <v>186</v>
      </c>
      <c r="H187">
        <v>6013</v>
      </c>
      <c r="I187">
        <v>3</v>
      </c>
      <c r="J187" t="s">
        <v>25</v>
      </c>
      <c r="K187">
        <v>150000</v>
      </c>
      <c r="L187" t="s">
        <v>34</v>
      </c>
      <c r="M187">
        <v>41</v>
      </c>
      <c r="N187">
        <v>613</v>
      </c>
      <c r="O187">
        <v>6</v>
      </c>
      <c r="P187">
        <v>13</v>
      </c>
      <c r="Q187">
        <v>56</v>
      </c>
      <c r="R187">
        <v>20.3</v>
      </c>
      <c r="S187">
        <v>580</v>
      </c>
      <c r="T187">
        <v>742</v>
      </c>
      <c r="U187" s="1">
        <v>45490</v>
      </c>
      <c r="V187" s="1">
        <v>45524</v>
      </c>
      <c r="W187">
        <v>123286</v>
      </c>
      <c r="X187">
        <v>0.89553571399999998</v>
      </c>
      <c r="Y187">
        <v>914.80391929999996</v>
      </c>
      <c r="Z187">
        <f t="shared" si="11"/>
        <v>0.97276785700000001</v>
      </c>
      <c r="AA187">
        <f t="shared" si="12"/>
        <v>762.77191383390868</v>
      </c>
      <c r="AB187" cm="1">
        <f t="array" ref="AB187">_xlfn.IFS(X187&lt;0.6,T187,0.9&lt;X187,T187,X187,AA187)</f>
        <v>762.77191383390868</v>
      </c>
      <c r="AC187">
        <v>0.96343749999999995</v>
      </c>
      <c r="AD187">
        <v>850.48617400000001</v>
      </c>
      <c r="AE187">
        <v>850.48617400000001</v>
      </c>
      <c r="AG187">
        <v>0</v>
      </c>
      <c r="AH187">
        <v>186</v>
      </c>
    </row>
    <row r="188" spans="1:34" x14ac:dyDescent="0.25">
      <c r="A188" t="s">
        <v>768</v>
      </c>
      <c r="B188" t="s">
        <v>953</v>
      </c>
      <c r="D188" t="s">
        <v>770</v>
      </c>
      <c r="E188">
        <v>187</v>
      </c>
      <c r="H188">
        <v>7013</v>
      </c>
      <c r="I188">
        <v>3</v>
      </c>
      <c r="J188" t="s">
        <v>25</v>
      </c>
      <c r="K188">
        <v>150000</v>
      </c>
      <c r="L188" t="s">
        <v>50</v>
      </c>
      <c r="M188">
        <v>34</v>
      </c>
      <c r="N188">
        <v>713</v>
      </c>
      <c r="O188">
        <v>7</v>
      </c>
      <c r="P188">
        <v>13</v>
      </c>
      <c r="Q188">
        <v>68</v>
      </c>
      <c r="R188">
        <v>19.5</v>
      </c>
      <c r="S188">
        <v>931</v>
      </c>
      <c r="T188">
        <v>1203</v>
      </c>
      <c r="U188" s="1">
        <v>45497</v>
      </c>
      <c r="W188">
        <v>126132</v>
      </c>
      <c r="X188">
        <v>0.94919786100000003</v>
      </c>
      <c r="Y188">
        <v>1449.738417</v>
      </c>
      <c r="Z188">
        <f t="shared" si="11"/>
        <v>0.99959893050000004</v>
      </c>
      <c r="AA188">
        <f t="shared" si="12"/>
        <v>1203.4826801968052</v>
      </c>
      <c r="AB188" cm="1">
        <f t="array" ref="AB188">_xlfn.IFS(X188&lt;0.6,T188,0.9&lt;X188,T188,X188,AA188)</f>
        <v>1203</v>
      </c>
      <c r="AC188">
        <v>0.98221925099999996</v>
      </c>
      <c r="AD188">
        <v>1338.6973439999999</v>
      </c>
      <c r="AE188">
        <v>1203</v>
      </c>
      <c r="AG188">
        <v>0</v>
      </c>
      <c r="AH188">
        <v>187</v>
      </c>
    </row>
    <row r="189" spans="1:34" x14ac:dyDescent="0.25">
      <c r="A189" t="s">
        <v>768</v>
      </c>
      <c r="B189" t="s">
        <v>954</v>
      </c>
      <c r="D189" t="s">
        <v>770</v>
      </c>
      <c r="E189">
        <v>188</v>
      </c>
      <c r="H189">
        <v>8013</v>
      </c>
      <c r="I189">
        <v>3</v>
      </c>
      <c r="J189" t="s">
        <v>25</v>
      </c>
      <c r="K189">
        <v>150000</v>
      </c>
      <c r="L189" t="s">
        <v>66</v>
      </c>
      <c r="M189">
        <v>42</v>
      </c>
      <c r="N189">
        <v>813</v>
      </c>
      <c r="O189">
        <v>8</v>
      </c>
      <c r="P189">
        <v>13</v>
      </c>
      <c r="Q189">
        <v>67</v>
      </c>
      <c r="R189">
        <v>21.3</v>
      </c>
      <c r="S189">
        <v>824</v>
      </c>
      <c r="T189">
        <v>1041</v>
      </c>
      <c r="U189" s="1">
        <v>45493</v>
      </c>
      <c r="V189" s="1">
        <v>45537</v>
      </c>
      <c r="W189">
        <v>126104</v>
      </c>
      <c r="X189">
        <v>0.91362422099999996</v>
      </c>
      <c r="Y189">
        <v>1254.765582</v>
      </c>
      <c r="Z189">
        <f t="shared" si="11"/>
        <v>0.98181211049999995</v>
      </c>
      <c r="AA189">
        <f t="shared" si="12"/>
        <v>1060.2843343110301</v>
      </c>
      <c r="AB189" cm="1">
        <f t="array" ref="AB189">_xlfn.IFS(X189&lt;0.6,T189,0.9&lt;X189,T189,X189,AA189)</f>
        <v>1041</v>
      </c>
      <c r="AC189">
        <v>0.96976847700000002</v>
      </c>
      <c r="AD189">
        <v>1173.4044180000001</v>
      </c>
      <c r="AE189">
        <v>1041</v>
      </c>
      <c r="AG189">
        <v>0</v>
      </c>
      <c r="AH189">
        <v>188</v>
      </c>
    </row>
    <row r="190" spans="1:34" x14ac:dyDescent="0.25">
      <c r="A190" t="s">
        <v>768</v>
      </c>
      <c r="B190" t="s">
        <v>955</v>
      </c>
      <c r="D190" t="s">
        <v>770</v>
      </c>
      <c r="E190">
        <v>189</v>
      </c>
      <c r="H190">
        <v>9013</v>
      </c>
      <c r="I190">
        <v>3</v>
      </c>
      <c r="J190" t="s">
        <v>25</v>
      </c>
      <c r="K190">
        <v>150000</v>
      </c>
      <c r="L190" t="s">
        <v>38</v>
      </c>
      <c r="M190">
        <v>33</v>
      </c>
      <c r="N190">
        <v>913</v>
      </c>
      <c r="O190">
        <v>9</v>
      </c>
      <c r="P190">
        <v>13</v>
      </c>
      <c r="Q190">
        <v>40</v>
      </c>
      <c r="R190">
        <v>18.2</v>
      </c>
      <c r="S190">
        <v>2265</v>
      </c>
      <c r="T190">
        <v>2973</v>
      </c>
      <c r="U190" s="1">
        <v>45497</v>
      </c>
      <c r="V190" s="1">
        <v>45533</v>
      </c>
      <c r="W190">
        <v>102950</v>
      </c>
      <c r="X190">
        <v>0.75581395299999998</v>
      </c>
      <c r="Y190">
        <v>4389.4706169999999</v>
      </c>
      <c r="Z190">
        <f t="shared" si="11"/>
        <v>0.90290697649999996</v>
      </c>
      <c r="AA190">
        <f t="shared" si="12"/>
        <v>3292.6980047539814</v>
      </c>
      <c r="AB190" cm="1">
        <f t="array" ref="AB190">_xlfn.IFS(X190&lt;0.6,T190,0.9&lt;X190,T190,X190,AA190)</f>
        <v>3292.6980047539814</v>
      </c>
      <c r="AC190">
        <v>0.91453488400000005</v>
      </c>
      <c r="AD190">
        <v>3876.2626879999998</v>
      </c>
      <c r="AE190">
        <v>3876.2626879999998</v>
      </c>
      <c r="AG190">
        <v>0</v>
      </c>
      <c r="AH190">
        <v>189</v>
      </c>
    </row>
    <row r="191" spans="1:34" x14ac:dyDescent="0.25">
      <c r="A191" t="s">
        <v>768</v>
      </c>
      <c r="B191" t="s">
        <v>956</v>
      </c>
      <c r="D191" t="s">
        <v>770</v>
      </c>
      <c r="E191">
        <v>190</v>
      </c>
      <c r="H191">
        <v>10013</v>
      </c>
      <c r="I191">
        <v>3</v>
      </c>
      <c r="J191" t="s">
        <v>25</v>
      </c>
      <c r="K191">
        <v>150000</v>
      </c>
      <c r="L191" t="s">
        <v>80</v>
      </c>
      <c r="M191">
        <v>32</v>
      </c>
      <c r="N191">
        <v>1013</v>
      </c>
      <c r="O191">
        <v>10</v>
      </c>
      <c r="P191">
        <v>13</v>
      </c>
      <c r="Q191">
        <v>25</v>
      </c>
      <c r="R191">
        <v>20.2</v>
      </c>
      <c r="S191">
        <v>2191</v>
      </c>
      <c r="T191">
        <v>2806</v>
      </c>
      <c r="U191" s="1">
        <v>45496</v>
      </c>
      <c r="V191" s="1">
        <v>45534</v>
      </c>
      <c r="W191">
        <v>133367</v>
      </c>
      <c r="X191">
        <v>0.95263628199999995</v>
      </c>
      <c r="Y191">
        <v>3198.0324970000001</v>
      </c>
      <c r="Z191">
        <f t="shared" si="11"/>
        <v>1.0013181410000001</v>
      </c>
      <c r="AA191">
        <f t="shared" si="12"/>
        <v>2802.3061653489008</v>
      </c>
      <c r="AB191" cm="1">
        <f t="array" ref="AB191">_xlfn.IFS(X191&lt;0.6,T191,0.9&lt;X191,T191,X191,AA191)</f>
        <v>2806</v>
      </c>
      <c r="AC191">
        <v>0.98342269900000001</v>
      </c>
      <c r="AD191">
        <v>3039.6058549999998</v>
      </c>
      <c r="AE191">
        <v>2806</v>
      </c>
      <c r="AG191">
        <v>0</v>
      </c>
      <c r="AH191">
        <v>190</v>
      </c>
    </row>
    <row r="192" spans="1:34" x14ac:dyDescent="0.25">
      <c r="A192" t="s">
        <v>768</v>
      </c>
      <c r="B192" t="s">
        <v>957</v>
      </c>
      <c r="D192" t="s">
        <v>770</v>
      </c>
      <c r="E192">
        <v>191</v>
      </c>
      <c r="H192">
        <v>11013</v>
      </c>
      <c r="I192">
        <v>3</v>
      </c>
      <c r="J192" t="s">
        <v>25</v>
      </c>
      <c r="K192">
        <v>150000</v>
      </c>
      <c r="L192" t="s">
        <v>62</v>
      </c>
      <c r="M192">
        <v>43</v>
      </c>
      <c r="N192">
        <v>1113</v>
      </c>
      <c r="O192">
        <v>11</v>
      </c>
      <c r="P192">
        <v>13</v>
      </c>
      <c r="Q192">
        <v>26</v>
      </c>
      <c r="R192">
        <v>20.8</v>
      </c>
      <c r="S192">
        <v>2309</v>
      </c>
      <c r="T192">
        <v>2934</v>
      </c>
      <c r="U192" s="1">
        <v>45499</v>
      </c>
      <c r="V192" s="1">
        <v>45534</v>
      </c>
      <c r="W192">
        <v>121058</v>
      </c>
      <c r="X192">
        <v>0.91316025099999998</v>
      </c>
      <c r="Y192">
        <v>3683.8958680000001</v>
      </c>
      <c r="Z192">
        <f t="shared" si="11"/>
        <v>0.98158012550000007</v>
      </c>
      <c r="AA192">
        <f t="shared" si="12"/>
        <v>2989.0580746074811</v>
      </c>
      <c r="AB192" cm="1">
        <f t="array" ref="AB192">_xlfn.IFS(X192&lt;0.6,T192,0.9&lt;X192,T192,X192,AA192)</f>
        <v>2934</v>
      </c>
      <c r="AC192">
        <v>0.96960608800000003</v>
      </c>
      <c r="AD192">
        <v>3368.8539850000002</v>
      </c>
      <c r="AE192">
        <v>2934</v>
      </c>
      <c r="AG192">
        <v>0</v>
      </c>
      <c r="AH192">
        <v>191</v>
      </c>
    </row>
    <row r="193" spans="1:34" x14ac:dyDescent="0.25">
      <c r="A193" t="s">
        <v>768</v>
      </c>
      <c r="B193" t="s">
        <v>958</v>
      </c>
      <c r="D193" t="s">
        <v>770</v>
      </c>
      <c r="E193">
        <v>192</v>
      </c>
      <c r="H193">
        <v>12013</v>
      </c>
      <c r="I193">
        <v>3</v>
      </c>
      <c r="J193" t="s">
        <v>25</v>
      </c>
      <c r="K193">
        <v>150000</v>
      </c>
      <c r="L193" t="s">
        <v>26</v>
      </c>
      <c r="M193">
        <v>38</v>
      </c>
      <c r="N193">
        <v>1213</v>
      </c>
      <c r="O193">
        <v>12</v>
      </c>
      <c r="P193">
        <v>13</v>
      </c>
      <c r="Q193">
        <v>23</v>
      </c>
      <c r="R193">
        <v>18.399999999999999</v>
      </c>
      <c r="S193">
        <v>1470</v>
      </c>
      <c r="T193">
        <v>1925</v>
      </c>
      <c r="U193" s="1">
        <v>45496</v>
      </c>
      <c r="V193" s="1">
        <v>45534</v>
      </c>
      <c r="W193">
        <v>116036</v>
      </c>
      <c r="X193">
        <v>0.82515611099999997</v>
      </c>
      <c r="Y193">
        <v>2521.6146279999998</v>
      </c>
      <c r="Z193">
        <f t="shared" si="11"/>
        <v>0.93757805549999995</v>
      </c>
      <c r="AA193">
        <f t="shared" si="12"/>
        <v>2053.1623886753823</v>
      </c>
      <c r="AB193" cm="1">
        <f t="array" ref="AB193">_xlfn.IFS(X193&lt;0.6,T193,0.9&lt;X193,T193,X193,AA193)</f>
        <v>2053.1623886753823</v>
      </c>
      <c r="AC193">
        <v>0.938804639</v>
      </c>
      <c r="AD193">
        <v>2325.59843</v>
      </c>
      <c r="AE193">
        <v>2325.59843</v>
      </c>
      <c r="AG193">
        <v>0</v>
      </c>
      <c r="AH193">
        <v>192</v>
      </c>
    </row>
    <row r="194" spans="1:34" x14ac:dyDescent="0.25">
      <c r="A194" t="s">
        <v>768</v>
      </c>
      <c r="B194" t="s">
        <v>959</v>
      </c>
      <c r="D194" t="s">
        <v>770</v>
      </c>
      <c r="E194">
        <v>193</v>
      </c>
      <c r="H194">
        <v>13013</v>
      </c>
      <c r="I194">
        <v>3</v>
      </c>
      <c r="J194" t="s">
        <v>25</v>
      </c>
      <c r="K194">
        <v>150000</v>
      </c>
      <c r="L194" t="s">
        <v>78</v>
      </c>
      <c r="M194">
        <v>36</v>
      </c>
      <c r="N194">
        <v>1313</v>
      </c>
      <c r="O194">
        <v>13</v>
      </c>
      <c r="P194">
        <v>13</v>
      </c>
      <c r="Q194">
        <v>54</v>
      </c>
      <c r="R194">
        <v>19.2</v>
      </c>
      <c r="S194">
        <v>277</v>
      </c>
      <c r="T194">
        <v>359</v>
      </c>
      <c r="U194" s="1">
        <v>45491</v>
      </c>
      <c r="V194" s="1">
        <v>45525</v>
      </c>
      <c r="W194">
        <v>111339</v>
      </c>
      <c r="X194">
        <v>0.71900089199999995</v>
      </c>
      <c r="Y194">
        <v>490.1003422</v>
      </c>
      <c r="Z194">
        <f t="shared" si="11"/>
        <v>0.884500446</v>
      </c>
      <c r="AA194">
        <f t="shared" si="12"/>
        <v>405.87882303905587</v>
      </c>
      <c r="AB194" cm="1">
        <f t="array" ref="AB194">_xlfn.IFS(X194&lt;0.6,T194,0.9&lt;X194,T194,X194,AA194)</f>
        <v>405.87882303905587</v>
      </c>
      <c r="AC194">
        <v>0.90165031200000001</v>
      </c>
      <c r="AD194">
        <v>459.6341587</v>
      </c>
      <c r="AE194">
        <v>459.6341587</v>
      </c>
      <c r="AG194">
        <v>0</v>
      </c>
      <c r="AH194">
        <v>193</v>
      </c>
    </row>
    <row r="195" spans="1:34" x14ac:dyDescent="0.25">
      <c r="A195" t="s">
        <v>768</v>
      </c>
      <c r="B195" t="s">
        <v>960</v>
      </c>
      <c r="D195" t="s">
        <v>770</v>
      </c>
      <c r="E195">
        <v>194</v>
      </c>
      <c r="H195">
        <v>14013</v>
      </c>
      <c r="I195">
        <v>3</v>
      </c>
      <c r="J195" t="s">
        <v>25</v>
      </c>
      <c r="K195">
        <v>150000</v>
      </c>
      <c r="L195" t="s">
        <v>46</v>
      </c>
      <c r="M195">
        <v>35</v>
      </c>
      <c r="N195">
        <v>1413</v>
      </c>
      <c r="O195">
        <v>14</v>
      </c>
      <c r="P195">
        <v>13</v>
      </c>
      <c r="Q195">
        <v>28</v>
      </c>
      <c r="R195">
        <v>18.399999999999999</v>
      </c>
      <c r="S195">
        <v>1318</v>
      </c>
      <c r="T195">
        <v>1726</v>
      </c>
      <c r="U195" s="1">
        <v>45495</v>
      </c>
      <c r="V195" s="1">
        <v>45532</v>
      </c>
      <c r="W195">
        <v>115179</v>
      </c>
      <c r="X195">
        <v>0.66905187799999999</v>
      </c>
      <c r="Y195">
        <v>2277.8063010000001</v>
      </c>
      <c r="Z195">
        <f t="shared" si="11"/>
        <v>0.85952593900000007</v>
      </c>
      <c r="AA195">
        <f t="shared" si="12"/>
        <v>2008.0836676180868</v>
      </c>
      <c r="AB195" cm="1">
        <f t="array" ref="AB195">_xlfn.IFS(X195&lt;0.6,T195,0.9&lt;X195,T195,X195,AA195)</f>
        <v>2008.0836676180868</v>
      </c>
      <c r="AC195">
        <v>0.88416815699999995</v>
      </c>
      <c r="AD195">
        <v>2221.1590000000001</v>
      </c>
      <c r="AE195">
        <v>2221.1590000000001</v>
      </c>
      <c r="AG195">
        <v>0</v>
      </c>
      <c r="AH195">
        <v>194</v>
      </c>
    </row>
    <row r="196" spans="1:34" x14ac:dyDescent="0.25">
      <c r="A196" t="s">
        <v>768</v>
      </c>
      <c r="B196" t="s">
        <v>961</v>
      </c>
      <c r="D196" t="s">
        <v>770</v>
      </c>
      <c r="E196">
        <v>195</v>
      </c>
      <c r="H196">
        <v>15013</v>
      </c>
      <c r="I196">
        <v>3</v>
      </c>
      <c r="J196" t="s">
        <v>25</v>
      </c>
      <c r="K196">
        <v>150000</v>
      </c>
      <c r="L196" t="s">
        <v>42</v>
      </c>
      <c r="M196">
        <v>44</v>
      </c>
      <c r="N196">
        <v>1513</v>
      </c>
      <c r="O196">
        <v>15</v>
      </c>
      <c r="P196">
        <v>13</v>
      </c>
      <c r="Q196">
        <v>35</v>
      </c>
      <c r="R196">
        <v>18</v>
      </c>
      <c r="S196">
        <v>1110</v>
      </c>
      <c r="T196">
        <v>1461</v>
      </c>
      <c r="U196" s="1">
        <v>45494</v>
      </c>
      <c r="V196" s="1">
        <v>45527</v>
      </c>
      <c r="W196">
        <v>122194</v>
      </c>
      <c r="X196">
        <v>0.89937666999999999</v>
      </c>
      <c r="Y196">
        <v>1817.3484619999999</v>
      </c>
      <c r="Z196">
        <f t="shared" si="11"/>
        <v>0.97468833499999996</v>
      </c>
      <c r="AA196">
        <f t="shared" si="12"/>
        <v>1498.9406844599202</v>
      </c>
      <c r="AB196" cm="1">
        <f t="array" ref="AB196">_xlfn.IFS(X196&lt;0.6,T196,0.9&lt;X196,T196,X196,AA196)</f>
        <v>1498.9406844599202</v>
      </c>
      <c r="AC196">
        <v>0.96478183500000003</v>
      </c>
      <c r="AD196">
        <v>1678.9361799999999</v>
      </c>
      <c r="AE196">
        <v>1678.9361799999999</v>
      </c>
      <c r="AG196">
        <v>0</v>
      </c>
      <c r="AH196">
        <v>195</v>
      </c>
    </row>
    <row r="197" spans="1:34" x14ac:dyDescent="0.25">
      <c r="A197" t="s">
        <v>768</v>
      </c>
      <c r="B197" t="s">
        <v>962</v>
      </c>
      <c r="D197" t="s">
        <v>770</v>
      </c>
      <c r="E197">
        <v>196</v>
      </c>
      <c r="H197">
        <v>15014</v>
      </c>
      <c r="I197">
        <v>3</v>
      </c>
      <c r="J197" t="s">
        <v>25</v>
      </c>
      <c r="K197">
        <v>75000</v>
      </c>
      <c r="L197" t="s">
        <v>74</v>
      </c>
      <c r="M197">
        <v>1</v>
      </c>
      <c r="N197">
        <v>1514</v>
      </c>
      <c r="O197">
        <v>15</v>
      </c>
      <c r="P197">
        <v>14</v>
      </c>
      <c r="Q197">
        <v>39</v>
      </c>
      <c r="R197">
        <v>19.7</v>
      </c>
      <c r="S197">
        <v>1647</v>
      </c>
      <c r="T197">
        <v>2122</v>
      </c>
      <c r="U197" s="1">
        <v>45496</v>
      </c>
      <c r="V197" s="1">
        <v>45536</v>
      </c>
      <c r="W197">
        <v>125524</v>
      </c>
      <c r="X197">
        <v>0.96345811100000001</v>
      </c>
      <c r="Y197">
        <v>2569.5803190000001</v>
      </c>
      <c r="Z197">
        <f t="shared" si="11"/>
        <v>1.0067290555000001</v>
      </c>
      <c r="AA197">
        <f t="shared" si="12"/>
        <v>2107.8163865510878</v>
      </c>
      <c r="AB197" cm="1">
        <f t="array" ref="AB197">_xlfn.IFS(X197&lt;0.6,T197,0.9&lt;X197,T197,X197,AA197)</f>
        <v>2122</v>
      </c>
      <c r="AC197">
        <v>0.98721033899999999</v>
      </c>
      <c r="AD197">
        <v>2354.554361</v>
      </c>
      <c r="AE197">
        <v>2122</v>
      </c>
      <c r="AG197">
        <v>0</v>
      </c>
      <c r="AH197">
        <v>196</v>
      </c>
    </row>
    <row r="198" spans="1:34" x14ac:dyDescent="0.25">
      <c r="A198" t="s">
        <v>768</v>
      </c>
      <c r="B198" t="s">
        <v>963</v>
      </c>
      <c r="D198" t="s">
        <v>770</v>
      </c>
      <c r="E198">
        <v>197</v>
      </c>
      <c r="H198">
        <v>14014</v>
      </c>
      <c r="I198">
        <v>3</v>
      </c>
      <c r="J198" t="s">
        <v>25</v>
      </c>
      <c r="K198">
        <v>75000</v>
      </c>
      <c r="L198" t="s">
        <v>38</v>
      </c>
      <c r="M198">
        <v>3</v>
      </c>
      <c r="N198">
        <v>1414</v>
      </c>
      <c r="O198">
        <v>14</v>
      </c>
      <c r="P198">
        <v>14</v>
      </c>
      <c r="Q198">
        <v>41</v>
      </c>
      <c r="R198">
        <v>18</v>
      </c>
      <c r="S198">
        <v>1429</v>
      </c>
      <c r="T198">
        <v>1880</v>
      </c>
      <c r="U198" s="1">
        <v>45496</v>
      </c>
      <c r="V198" s="1">
        <v>45534</v>
      </c>
      <c r="W198">
        <v>125890</v>
      </c>
      <c r="X198">
        <v>0.89454870399999997</v>
      </c>
      <c r="Y198">
        <v>2269.9181830000002</v>
      </c>
      <c r="Z198">
        <f t="shared" si="11"/>
        <v>0.97227435200000001</v>
      </c>
      <c r="AA198">
        <f t="shared" si="12"/>
        <v>1933.6106070604235</v>
      </c>
      <c r="AB198" cm="1">
        <f t="array" ref="AB198">_xlfn.IFS(X198&lt;0.6,T198,0.9&lt;X198,T198,X198,AA198)</f>
        <v>1933.6106070604235</v>
      </c>
      <c r="AC198">
        <v>0.96309204599999998</v>
      </c>
      <c r="AD198">
        <v>2135.4564439999999</v>
      </c>
      <c r="AE198">
        <v>2135.4564439999999</v>
      </c>
      <c r="AG198">
        <v>0</v>
      </c>
      <c r="AH198">
        <v>197</v>
      </c>
    </row>
    <row r="199" spans="1:34" x14ac:dyDescent="0.25">
      <c r="A199" t="s">
        <v>768</v>
      </c>
      <c r="B199" t="s">
        <v>964</v>
      </c>
      <c r="D199" t="s">
        <v>770</v>
      </c>
      <c r="E199">
        <v>198</v>
      </c>
      <c r="H199">
        <v>13014</v>
      </c>
      <c r="I199">
        <v>3</v>
      </c>
      <c r="J199" t="s">
        <v>25</v>
      </c>
      <c r="K199">
        <v>75000</v>
      </c>
      <c r="L199" t="s">
        <v>78</v>
      </c>
      <c r="M199">
        <v>6</v>
      </c>
      <c r="N199">
        <v>1314</v>
      </c>
      <c r="O199">
        <v>13</v>
      </c>
      <c r="P199">
        <v>14</v>
      </c>
      <c r="Q199">
        <v>57</v>
      </c>
      <c r="R199">
        <v>20.2</v>
      </c>
      <c r="S199">
        <v>654</v>
      </c>
      <c r="T199">
        <v>837</v>
      </c>
      <c r="U199" s="1">
        <v>45491</v>
      </c>
      <c r="V199" s="1">
        <v>45526</v>
      </c>
      <c r="W199">
        <v>117997</v>
      </c>
      <c r="X199">
        <v>0.81818181800000001</v>
      </c>
      <c r="Y199">
        <v>1078.196903</v>
      </c>
      <c r="Z199">
        <f t="shared" si="11"/>
        <v>0.93409090900000002</v>
      </c>
      <c r="AA199">
        <f t="shared" si="12"/>
        <v>896.05839424779151</v>
      </c>
      <c r="AB199" cm="1">
        <f t="array" ref="AB199">_xlfn.IFS(X199&lt;0.6,T199,0.9&lt;X199,T199,X199,AA199)</f>
        <v>896.05839424779151</v>
      </c>
      <c r="AC199">
        <v>0.93636363600000005</v>
      </c>
      <c r="AD199">
        <v>1006.4577849999999</v>
      </c>
      <c r="AE199">
        <v>1006.4577849999999</v>
      </c>
      <c r="AG199">
        <v>0</v>
      </c>
      <c r="AH199">
        <v>198</v>
      </c>
    </row>
    <row r="200" spans="1:34" x14ac:dyDescent="0.25">
      <c r="A200" t="s">
        <v>768</v>
      </c>
      <c r="B200" t="s">
        <v>965</v>
      </c>
      <c r="D200" t="s">
        <v>770</v>
      </c>
      <c r="E200">
        <v>199</v>
      </c>
      <c r="H200">
        <v>12014</v>
      </c>
      <c r="I200">
        <v>3</v>
      </c>
      <c r="J200" t="s">
        <v>25</v>
      </c>
      <c r="K200">
        <v>75000</v>
      </c>
      <c r="L200" t="s">
        <v>50</v>
      </c>
      <c r="M200">
        <v>4</v>
      </c>
      <c r="N200">
        <v>1214</v>
      </c>
      <c r="O200">
        <v>12</v>
      </c>
      <c r="P200">
        <v>14</v>
      </c>
      <c r="Q200">
        <v>67</v>
      </c>
      <c r="R200">
        <v>20.6</v>
      </c>
      <c r="S200">
        <v>584</v>
      </c>
      <c r="T200">
        <v>744</v>
      </c>
      <c r="U200" s="1">
        <v>45495</v>
      </c>
      <c r="W200">
        <v>117241</v>
      </c>
      <c r="X200">
        <v>0.79910714299999996</v>
      </c>
      <c r="Y200">
        <v>964.57723829999998</v>
      </c>
      <c r="Z200">
        <f t="shared" si="11"/>
        <v>0.92455357149999995</v>
      </c>
      <c r="AA200">
        <f t="shared" si="12"/>
        <v>804.71269911697061</v>
      </c>
      <c r="AB200" cm="1">
        <f t="array" ref="AB200">_xlfn.IFS(X200&lt;0.6,T200,0.9&lt;X200,T200,X200,AA200)</f>
        <v>804.71269911697061</v>
      </c>
      <c r="AC200">
        <v>0.9296875</v>
      </c>
      <c r="AD200">
        <v>903.58358480000004</v>
      </c>
      <c r="AE200">
        <v>903.58358480000004</v>
      </c>
      <c r="AG200">
        <v>0</v>
      </c>
      <c r="AH200">
        <v>199</v>
      </c>
    </row>
    <row r="201" spans="1:34" x14ac:dyDescent="0.25">
      <c r="A201" t="s">
        <v>768</v>
      </c>
      <c r="B201" t="s">
        <v>966</v>
      </c>
      <c r="D201" t="s">
        <v>770</v>
      </c>
      <c r="E201">
        <v>200</v>
      </c>
      <c r="H201">
        <v>11014</v>
      </c>
      <c r="I201">
        <v>3</v>
      </c>
      <c r="J201" t="s">
        <v>25</v>
      </c>
      <c r="K201">
        <v>75000</v>
      </c>
      <c r="L201" t="s">
        <v>46</v>
      </c>
      <c r="M201">
        <v>5</v>
      </c>
      <c r="N201">
        <v>1114</v>
      </c>
      <c r="O201">
        <v>11</v>
      </c>
      <c r="P201">
        <v>14</v>
      </c>
      <c r="Q201">
        <v>25</v>
      </c>
      <c r="R201">
        <v>20.2</v>
      </c>
      <c r="S201">
        <v>1638</v>
      </c>
      <c r="T201">
        <v>2097</v>
      </c>
      <c r="U201" s="1">
        <v>45497</v>
      </c>
      <c r="V201" s="1">
        <v>45534</v>
      </c>
      <c r="W201">
        <v>116578</v>
      </c>
      <c r="X201">
        <v>0.86058981199999995</v>
      </c>
      <c r="Y201">
        <v>2734.1693970000001</v>
      </c>
      <c r="Z201">
        <f t="shared" si="11"/>
        <v>0.955294906</v>
      </c>
      <c r="AA201">
        <f t="shared" si="12"/>
        <v>2195.1336564543558</v>
      </c>
      <c r="AB201" cm="1">
        <f t="array" ref="AB201">_xlfn.IFS(X201&lt;0.6,T201,0.9&lt;X201,T201,X201,AA201)</f>
        <v>2195.1336564543558</v>
      </c>
      <c r="AC201">
        <v>0.95120643400000005</v>
      </c>
      <c r="AD201">
        <v>2495.323171</v>
      </c>
      <c r="AE201">
        <v>2495.323171</v>
      </c>
      <c r="AG201">
        <v>0</v>
      </c>
      <c r="AH201">
        <v>200</v>
      </c>
    </row>
    <row r="202" spans="1:34" x14ac:dyDescent="0.25">
      <c r="A202" t="s">
        <v>768</v>
      </c>
      <c r="B202" t="s">
        <v>967</v>
      </c>
      <c r="D202" t="s">
        <v>770</v>
      </c>
      <c r="E202">
        <v>201</v>
      </c>
      <c r="H202">
        <v>10014</v>
      </c>
      <c r="I202">
        <v>3</v>
      </c>
      <c r="J202" t="s">
        <v>25</v>
      </c>
      <c r="K202">
        <v>75000</v>
      </c>
      <c r="L202" t="s">
        <v>70</v>
      </c>
      <c r="M202">
        <v>7</v>
      </c>
      <c r="N202">
        <v>1014</v>
      </c>
      <c r="O202">
        <v>10</v>
      </c>
      <c r="P202">
        <v>14</v>
      </c>
      <c r="Q202">
        <v>40</v>
      </c>
      <c r="R202">
        <v>19.2</v>
      </c>
      <c r="S202">
        <v>1140</v>
      </c>
      <c r="T202">
        <v>1478</v>
      </c>
      <c r="U202" s="1">
        <v>45497</v>
      </c>
      <c r="V202" s="1">
        <v>45535</v>
      </c>
      <c r="W202">
        <v>122341</v>
      </c>
      <c r="X202">
        <v>0.85241502700000005</v>
      </c>
      <c r="Y202">
        <v>1836.3220670000001</v>
      </c>
      <c r="Z202">
        <f t="shared" si="11"/>
        <v>0.95120751349999999</v>
      </c>
      <c r="AA202">
        <f t="shared" si="12"/>
        <v>1553.8144716305376</v>
      </c>
      <c r="AB202" cm="1">
        <f t="array" ref="AB202">_xlfn.IFS(X202&lt;0.6,T202,0.9&lt;X202,T202,X202,AA202)</f>
        <v>1553.8144716305376</v>
      </c>
      <c r="AC202">
        <v>0.948345259</v>
      </c>
      <c r="AD202">
        <v>1726.9990419999999</v>
      </c>
      <c r="AE202">
        <v>1726.9990419999999</v>
      </c>
      <c r="AG202">
        <v>0</v>
      </c>
      <c r="AH202">
        <v>201</v>
      </c>
    </row>
    <row r="203" spans="1:34" x14ac:dyDescent="0.25">
      <c r="A203" t="s">
        <v>768</v>
      </c>
      <c r="B203" t="s">
        <v>968</v>
      </c>
      <c r="D203" t="s">
        <v>770</v>
      </c>
      <c r="E203">
        <v>202</v>
      </c>
      <c r="H203">
        <v>9014</v>
      </c>
      <c r="I203">
        <v>3</v>
      </c>
      <c r="J203" t="s">
        <v>25</v>
      </c>
      <c r="K203">
        <v>75000</v>
      </c>
      <c r="L203" t="s">
        <v>80</v>
      </c>
      <c r="M203">
        <v>2</v>
      </c>
      <c r="N203">
        <v>914</v>
      </c>
      <c r="O203">
        <v>9</v>
      </c>
      <c r="P203">
        <v>14</v>
      </c>
      <c r="Q203">
        <v>25</v>
      </c>
      <c r="R203">
        <v>18.399999999999999</v>
      </c>
      <c r="S203">
        <v>1534</v>
      </c>
      <c r="T203">
        <v>2009</v>
      </c>
      <c r="U203" s="1">
        <v>45498</v>
      </c>
      <c r="V203" s="1">
        <v>45534</v>
      </c>
      <c r="W203">
        <v>122084</v>
      </c>
      <c r="X203">
        <v>0.88839285700000004</v>
      </c>
      <c r="Y203">
        <v>2501.2777350000001</v>
      </c>
      <c r="Z203">
        <f t="shared" si="11"/>
        <v>0.9691964285000001</v>
      </c>
      <c r="AA203">
        <f t="shared" si="12"/>
        <v>2072.8512207884182</v>
      </c>
      <c r="AB203" cm="1">
        <f t="array" ref="AB203">_xlfn.IFS(X203&lt;0.6,T203,0.9&lt;X203,T203,X203,AA203)</f>
        <v>2072.8512207884182</v>
      </c>
      <c r="AC203">
        <v>0.9609375</v>
      </c>
      <c r="AD203">
        <v>2318.8540889999999</v>
      </c>
      <c r="AE203">
        <v>2318.8540889999999</v>
      </c>
      <c r="AG203">
        <v>0</v>
      </c>
      <c r="AH203">
        <v>202</v>
      </c>
    </row>
    <row r="204" spans="1:34" x14ac:dyDescent="0.25">
      <c r="A204" t="s">
        <v>768</v>
      </c>
      <c r="B204" t="s">
        <v>969</v>
      </c>
      <c r="D204" t="s">
        <v>770</v>
      </c>
      <c r="E204">
        <v>203</v>
      </c>
      <c r="H204">
        <v>8014</v>
      </c>
      <c r="I204">
        <v>3</v>
      </c>
      <c r="J204" t="s">
        <v>25</v>
      </c>
      <c r="K204">
        <v>75000</v>
      </c>
      <c r="L204" t="s">
        <v>58</v>
      </c>
      <c r="M204">
        <v>9</v>
      </c>
      <c r="N204">
        <v>814</v>
      </c>
      <c r="O204">
        <v>8</v>
      </c>
      <c r="P204">
        <v>14</v>
      </c>
      <c r="Q204">
        <v>70</v>
      </c>
      <c r="R204">
        <v>18.2</v>
      </c>
      <c r="S204">
        <v>474</v>
      </c>
      <c r="T204">
        <v>622</v>
      </c>
      <c r="U204" s="1">
        <v>45489</v>
      </c>
      <c r="V204" s="1">
        <v>45523</v>
      </c>
      <c r="W204">
        <v>121053</v>
      </c>
      <c r="X204">
        <v>0.88492417499999998</v>
      </c>
      <c r="Y204">
        <v>781.00813689999995</v>
      </c>
      <c r="Z204">
        <f t="shared" si="11"/>
        <v>0.96746208749999996</v>
      </c>
      <c r="AA204">
        <f t="shared" si="12"/>
        <v>642.91925031119115</v>
      </c>
      <c r="AB204" cm="1">
        <f t="array" ref="AB204">_xlfn.IFS(X204&lt;0.6,T204,0.9&lt;X204,T204,X204,AA204)</f>
        <v>642.91925031119115</v>
      </c>
      <c r="AC204">
        <v>0.95972346100000006</v>
      </c>
      <c r="AD204">
        <v>721.55532749999998</v>
      </c>
      <c r="AE204">
        <v>721.55532749999998</v>
      </c>
      <c r="AG204">
        <v>0</v>
      </c>
      <c r="AH204">
        <v>203</v>
      </c>
    </row>
    <row r="205" spans="1:34" x14ac:dyDescent="0.25">
      <c r="A205" t="s">
        <v>768</v>
      </c>
      <c r="B205" t="s">
        <v>970</v>
      </c>
      <c r="D205" t="s">
        <v>770</v>
      </c>
      <c r="E205">
        <v>204</v>
      </c>
      <c r="H205">
        <v>7014</v>
      </c>
      <c r="I205">
        <v>3</v>
      </c>
      <c r="J205" t="s">
        <v>25</v>
      </c>
      <c r="K205">
        <v>75000</v>
      </c>
      <c r="L205" t="s">
        <v>62</v>
      </c>
      <c r="M205">
        <v>13</v>
      </c>
      <c r="N205">
        <v>714</v>
      </c>
      <c r="O205">
        <v>7</v>
      </c>
      <c r="P205">
        <v>14</v>
      </c>
      <c r="Q205">
        <v>26</v>
      </c>
      <c r="R205">
        <v>18.3</v>
      </c>
      <c r="S205">
        <v>1310</v>
      </c>
      <c r="T205">
        <v>1717</v>
      </c>
      <c r="U205" s="1">
        <v>45499</v>
      </c>
      <c r="V205" s="1">
        <v>45535</v>
      </c>
      <c r="W205">
        <v>105086</v>
      </c>
      <c r="X205">
        <v>0.70089285700000004</v>
      </c>
      <c r="Y205">
        <v>2483.511438</v>
      </c>
      <c r="Z205">
        <f t="shared" si="11"/>
        <v>0.8754464285000001</v>
      </c>
      <c r="AA205">
        <f t="shared" si="12"/>
        <v>1961.2850588035722</v>
      </c>
      <c r="AB205" cm="1">
        <f t="array" ref="AB205">_xlfn.IFS(X205&lt;0.6,T205,0.9&lt;X205,T205,X205,AA205)</f>
        <v>1961.2850588035722</v>
      </c>
      <c r="AC205">
        <v>0.89531249999999996</v>
      </c>
      <c r="AD205">
        <v>2267.7210719999998</v>
      </c>
      <c r="AE205">
        <v>2267.7210719999998</v>
      </c>
      <c r="AG205">
        <v>0</v>
      </c>
      <c r="AH205">
        <v>204</v>
      </c>
    </row>
    <row r="206" spans="1:34" x14ac:dyDescent="0.25">
      <c r="A206" t="s">
        <v>768</v>
      </c>
      <c r="B206" t="s">
        <v>971</v>
      </c>
      <c r="D206" t="s">
        <v>770</v>
      </c>
      <c r="E206">
        <v>205</v>
      </c>
      <c r="H206">
        <v>6014</v>
      </c>
      <c r="I206">
        <v>3</v>
      </c>
      <c r="J206" t="s">
        <v>25</v>
      </c>
      <c r="K206">
        <v>75000</v>
      </c>
      <c r="L206" t="s">
        <v>30</v>
      </c>
      <c r="M206">
        <v>15</v>
      </c>
      <c r="N206">
        <v>614</v>
      </c>
      <c r="O206">
        <v>6</v>
      </c>
      <c r="P206">
        <v>14</v>
      </c>
      <c r="Q206">
        <v>26</v>
      </c>
      <c r="R206">
        <v>20</v>
      </c>
      <c r="S206">
        <v>1588</v>
      </c>
      <c r="T206">
        <v>2039</v>
      </c>
      <c r="U206" s="1">
        <v>45494</v>
      </c>
      <c r="V206" s="1">
        <v>45534</v>
      </c>
      <c r="W206">
        <v>119337</v>
      </c>
      <c r="X206">
        <v>0.90625</v>
      </c>
      <c r="Y206">
        <v>2597.099299</v>
      </c>
      <c r="Z206">
        <f t="shared" si="11"/>
        <v>0.97812500000000002</v>
      </c>
      <c r="AA206">
        <f t="shared" si="12"/>
        <v>2084.6006389776358</v>
      </c>
      <c r="AB206" cm="1">
        <f t="array" ref="AB206">_xlfn.IFS(X206&lt;0.6,T206,0.9&lt;X206,T206,X206,AA206)</f>
        <v>2039</v>
      </c>
      <c r="AC206">
        <v>0.96718749999999998</v>
      </c>
      <c r="AD206">
        <v>2361.9590939999998</v>
      </c>
      <c r="AE206">
        <v>2039</v>
      </c>
      <c r="AG206">
        <v>0</v>
      </c>
      <c r="AH206">
        <v>205</v>
      </c>
    </row>
    <row r="207" spans="1:34" x14ac:dyDescent="0.25">
      <c r="A207" t="s">
        <v>768</v>
      </c>
      <c r="B207" t="s">
        <v>972</v>
      </c>
      <c r="D207" t="s">
        <v>770</v>
      </c>
      <c r="E207">
        <v>206</v>
      </c>
      <c r="H207">
        <v>5014</v>
      </c>
      <c r="I207">
        <v>3</v>
      </c>
      <c r="J207" t="s">
        <v>25</v>
      </c>
      <c r="K207">
        <v>75000</v>
      </c>
      <c r="L207" t="s">
        <v>34</v>
      </c>
      <c r="M207">
        <v>11</v>
      </c>
      <c r="N207">
        <v>514</v>
      </c>
      <c r="O207">
        <v>5</v>
      </c>
      <c r="P207">
        <v>14</v>
      </c>
      <c r="Q207">
        <v>60</v>
      </c>
      <c r="R207">
        <v>19</v>
      </c>
      <c r="S207">
        <v>482</v>
      </c>
      <c r="T207">
        <v>626</v>
      </c>
      <c r="U207" s="1">
        <v>45488</v>
      </c>
      <c r="V207" s="1">
        <v>45525</v>
      </c>
      <c r="W207">
        <v>89469</v>
      </c>
      <c r="X207">
        <v>0.69313113299999995</v>
      </c>
      <c r="Y207">
        <v>1063.5192079999999</v>
      </c>
      <c r="Z207">
        <f t="shared" si="11"/>
        <v>0.87156556649999994</v>
      </c>
      <c r="AA207">
        <f t="shared" si="12"/>
        <v>718.24774183526677</v>
      </c>
      <c r="AB207" cm="1">
        <f t="array" ref="AB207">_xlfn.IFS(X207&lt;0.6,T207,0.9&lt;X207,T207,X207,AA207)</f>
        <v>718.24774183526677</v>
      </c>
      <c r="AC207">
        <v>0.89259589699999997</v>
      </c>
      <c r="AD207">
        <v>882.9409253</v>
      </c>
      <c r="AE207">
        <v>882.9409253</v>
      </c>
      <c r="AG207">
        <v>0</v>
      </c>
      <c r="AH207">
        <v>206</v>
      </c>
    </row>
    <row r="208" spans="1:34" x14ac:dyDescent="0.25">
      <c r="A208" t="s">
        <v>768</v>
      </c>
      <c r="B208" t="s">
        <v>973</v>
      </c>
      <c r="D208" t="s">
        <v>770</v>
      </c>
      <c r="E208">
        <v>207</v>
      </c>
      <c r="H208">
        <v>4014</v>
      </c>
      <c r="I208">
        <v>3</v>
      </c>
      <c r="J208" t="s">
        <v>25</v>
      </c>
      <c r="K208">
        <v>75000</v>
      </c>
      <c r="L208" t="s">
        <v>54</v>
      </c>
      <c r="M208">
        <v>10</v>
      </c>
      <c r="N208">
        <v>414</v>
      </c>
      <c r="O208">
        <v>4</v>
      </c>
      <c r="P208">
        <v>14</v>
      </c>
      <c r="Q208">
        <v>77</v>
      </c>
      <c r="R208">
        <v>20.7</v>
      </c>
      <c r="S208">
        <v>541</v>
      </c>
      <c r="T208">
        <v>688</v>
      </c>
      <c r="U208" s="1">
        <v>45489</v>
      </c>
      <c r="V208" s="1">
        <v>45530</v>
      </c>
      <c r="W208">
        <v>112984</v>
      </c>
      <c r="X208">
        <v>0.73792486599999996</v>
      </c>
      <c r="Y208">
        <v>925.58847270000001</v>
      </c>
      <c r="Z208">
        <f t="shared" si="11"/>
        <v>0.893962433</v>
      </c>
      <c r="AA208">
        <f t="shared" si="12"/>
        <v>769.60728393382055</v>
      </c>
      <c r="AB208" cm="1">
        <f t="array" ref="AB208">_xlfn.IFS(X208&lt;0.6,T208,0.9&lt;X208,T208,X208,AA208)</f>
        <v>769.60728393382055</v>
      </c>
      <c r="AC208">
        <v>0.90827370299999999</v>
      </c>
      <c r="AD208">
        <v>869.01415029999998</v>
      </c>
      <c r="AE208">
        <v>869.01415029999998</v>
      </c>
      <c r="AG208">
        <v>0</v>
      </c>
      <c r="AH208">
        <v>207</v>
      </c>
    </row>
    <row r="209" spans="1:34" x14ac:dyDescent="0.25">
      <c r="A209" t="s">
        <v>768</v>
      </c>
      <c r="B209" t="s">
        <v>974</v>
      </c>
      <c r="D209" t="s">
        <v>770</v>
      </c>
      <c r="E209">
        <v>208</v>
      </c>
      <c r="H209">
        <v>3014</v>
      </c>
      <c r="I209">
        <v>3</v>
      </c>
      <c r="J209" t="s">
        <v>25</v>
      </c>
      <c r="K209">
        <v>75000</v>
      </c>
      <c r="L209" t="s">
        <v>42</v>
      </c>
      <c r="M209">
        <v>14</v>
      </c>
      <c r="N209">
        <v>314</v>
      </c>
      <c r="O209">
        <v>3</v>
      </c>
      <c r="P209">
        <v>14</v>
      </c>
      <c r="Q209">
        <v>45</v>
      </c>
      <c r="R209">
        <v>18.399999999999999</v>
      </c>
      <c r="S209">
        <v>925</v>
      </c>
      <c r="T209">
        <v>1211</v>
      </c>
      <c r="U209" s="1">
        <v>45493</v>
      </c>
      <c r="V209" s="1">
        <v>45525</v>
      </c>
      <c r="W209">
        <v>115221</v>
      </c>
      <c r="X209">
        <v>0.79982126899999995</v>
      </c>
      <c r="Y209">
        <v>1597.534981</v>
      </c>
      <c r="Z209">
        <f t="shared" si="11"/>
        <v>0.9249106345</v>
      </c>
      <c r="AA209">
        <f t="shared" si="12"/>
        <v>1309.3156839467608</v>
      </c>
      <c r="AB209" cm="1">
        <f t="array" ref="AB209">_xlfn.IFS(X209&lt;0.6,T209,0.9&lt;X209,T209,X209,AA209)</f>
        <v>1309.3156839467608</v>
      </c>
      <c r="AC209">
        <v>0.929937444</v>
      </c>
      <c r="AD209">
        <v>1481.4634550000001</v>
      </c>
      <c r="AE209">
        <v>1481.4634550000001</v>
      </c>
      <c r="AG209">
        <v>0</v>
      </c>
      <c r="AH209">
        <v>208</v>
      </c>
    </row>
    <row r="210" spans="1:34" x14ac:dyDescent="0.25">
      <c r="A210" t="s">
        <v>768</v>
      </c>
      <c r="B210" t="s">
        <v>975</v>
      </c>
      <c r="D210" t="s">
        <v>770</v>
      </c>
      <c r="E210">
        <v>209</v>
      </c>
      <c r="H210">
        <v>2014</v>
      </c>
      <c r="I210">
        <v>3</v>
      </c>
      <c r="J210" t="s">
        <v>25</v>
      </c>
      <c r="K210">
        <v>75000</v>
      </c>
      <c r="L210" t="s">
        <v>66</v>
      </c>
      <c r="M210">
        <v>12</v>
      </c>
      <c r="N210">
        <v>214</v>
      </c>
      <c r="O210">
        <v>2</v>
      </c>
      <c r="P210">
        <v>14</v>
      </c>
      <c r="Q210">
        <v>76</v>
      </c>
      <c r="R210">
        <v>20</v>
      </c>
      <c r="S210">
        <v>567</v>
      </c>
      <c r="T210">
        <v>728</v>
      </c>
      <c r="U210" s="1">
        <v>45496</v>
      </c>
      <c r="W210">
        <v>122427</v>
      </c>
      <c r="X210">
        <v>0.83750000000000002</v>
      </c>
      <c r="Y210">
        <v>903.85885470000005</v>
      </c>
      <c r="Z210">
        <f t="shared" si="11"/>
        <v>0.94375000000000009</v>
      </c>
      <c r="AA210">
        <f t="shared" si="12"/>
        <v>771.3907284768211</v>
      </c>
      <c r="AB210" cm="1">
        <f t="array" ref="AB210">_xlfn.IFS(X210&lt;0.6,T210,0.9&lt;X210,T210,X210,AA210)</f>
        <v>771.3907284768211</v>
      </c>
      <c r="AC210">
        <v>0.94312499999999999</v>
      </c>
      <c r="AD210">
        <v>855.086682</v>
      </c>
      <c r="AE210">
        <v>855.086682</v>
      </c>
      <c r="AG210">
        <v>0</v>
      </c>
      <c r="AH210">
        <v>209</v>
      </c>
    </row>
    <row r="211" spans="1:34" x14ac:dyDescent="0.25">
      <c r="A211" t="s">
        <v>768</v>
      </c>
      <c r="B211" t="s">
        <v>976</v>
      </c>
      <c r="D211" t="s">
        <v>770</v>
      </c>
      <c r="E211">
        <v>210</v>
      </c>
      <c r="H211">
        <v>1014</v>
      </c>
      <c r="I211">
        <v>3</v>
      </c>
      <c r="J211" t="s">
        <v>25</v>
      </c>
      <c r="K211">
        <v>75000</v>
      </c>
      <c r="L211" t="s">
        <v>26</v>
      </c>
      <c r="M211">
        <v>8</v>
      </c>
      <c r="N211">
        <v>114</v>
      </c>
      <c r="O211">
        <v>1</v>
      </c>
      <c r="P211">
        <v>14</v>
      </c>
      <c r="Q211">
        <v>26</v>
      </c>
      <c r="R211">
        <v>17.2</v>
      </c>
      <c r="S211">
        <v>1454</v>
      </c>
      <c r="T211">
        <v>1932</v>
      </c>
      <c r="U211" s="1">
        <v>45495</v>
      </c>
      <c r="V211" s="1">
        <v>45534</v>
      </c>
      <c r="W211">
        <v>123784</v>
      </c>
      <c r="X211">
        <v>0.95438282600000002</v>
      </c>
      <c r="Y211">
        <v>2372.421832</v>
      </c>
      <c r="Z211">
        <f t="shared" si="11"/>
        <v>1.002191413</v>
      </c>
      <c r="AA211">
        <f t="shared" si="12"/>
        <v>1927.7754478225609</v>
      </c>
      <c r="AB211" cm="1">
        <f t="array" ref="AB211">_xlfn.IFS(X211&lt;0.6,T211,0.9&lt;X211,T211,X211,AA211)</f>
        <v>1932</v>
      </c>
      <c r="AC211">
        <v>0.98403398900000005</v>
      </c>
      <c r="AD211">
        <v>2164.233448</v>
      </c>
      <c r="AE211">
        <v>1932</v>
      </c>
      <c r="AG211">
        <v>0</v>
      </c>
      <c r="AH211">
        <v>210</v>
      </c>
    </row>
    <row r="212" spans="1:34" x14ac:dyDescent="0.25">
      <c r="A212" t="s">
        <v>768</v>
      </c>
      <c r="B212" t="s">
        <v>977</v>
      </c>
      <c r="D212" t="s">
        <v>770</v>
      </c>
      <c r="E212">
        <v>211</v>
      </c>
      <c r="H212">
        <v>1015</v>
      </c>
      <c r="I212">
        <v>3</v>
      </c>
      <c r="J212" t="s">
        <v>25</v>
      </c>
      <c r="K212">
        <v>100000</v>
      </c>
      <c r="L212" t="s">
        <v>50</v>
      </c>
      <c r="M212">
        <v>19</v>
      </c>
      <c r="N212">
        <v>115</v>
      </c>
      <c r="O212">
        <v>1</v>
      </c>
      <c r="P212">
        <v>15</v>
      </c>
      <c r="Q212">
        <v>68</v>
      </c>
      <c r="R212">
        <v>20.6</v>
      </c>
      <c r="S212">
        <v>626</v>
      </c>
      <c r="T212">
        <v>798</v>
      </c>
      <c r="U212" s="1">
        <v>45496</v>
      </c>
      <c r="W212">
        <v>125646</v>
      </c>
      <c r="X212">
        <v>0.962566845</v>
      </c>
      <c r="Y212">
        <v>965.37892169999998</v>
      </c>
      <c r="Z212">
        <f t="shared" si="11"/>
        <v>1.0062834225000001</v>
      </c>
      <c r="AA212">
        <f t="shared" si="12"/>
        <v>793.01713827050537</v>
      </c>
      <c r="AB212" cm="1">
        <f t="array" ref="AB212">_xlfn.IFS(X212&lt;0.6,T212,0.9&lt;X212,T212,X212,AA212)</f>
        <v>798</v>
      </c>
      <c r="AC212">
        <v>0.98689839599999996</v>
      </c>
      <c r="AD212">
        <v>885.34514669999999</v>
      </c>
      <c r="AE212">
        <v>798</v>
      </c>
      <c r="AG212">
        <v>0</v>
      </c>
      <c r="AH212">
        <v>211</v>
      </c>
    </row>
    <row r="213" spans="1:34" x14ac:dyDescent="0.25">
      <c r="A213" t="s">
        <v>768</v>
      </c>
      <c r="B213" t="s">
        <v>978</v>
      </c>
      <c r="D213" t="s">
        <v>770</v>
      </c>
      <c r="E213">
        <v>212</v>
      </c>
      <c r="H213">
        <v>2015</v>
      </c>
      <c r="I213">
        <v>3</v>
      </c>
      <c r="J213" t="s">
        <v>25</v>
      </c>
      <c r="K213">
        <v>100000</v>
      </c>
      <c r="L213" t="s">
        <v>26</v>
      </c>
      <c r="M213">
        <v>23</v>
      </c>
      <c r="N213">
        <v>215</v>
      </c>
      <c r="O213">
        <v>2</v>
      </c>
      <c r="P213">
        <v>15</v>
      </c>
      <c r="Q213">
        <v>25</v>
      </c>
      <c r="R213">
        <v>20.3</v>
      </c>
      <c r="S213">
        <v>1627</v>
      </c>
      <c r="T213">
        <v>2081</v>
      </c>
      <c r="U213" s="1">
        <v>45496</v>
      </c>
      <c r="V213" s="1">
        <v>45534</v>
      </c>
      <c r="W213">
        <v>107334</v>
      </c>
      <c r="X213">
        <v>0.78895814799999997</v>
      </c>
      <c r="Y213">
        <v>2947.026683</v>
      </c>
      <c r="Z213">
        <f t="shared" si="11"/>
        <v>0.91947907400000006</v>
      </c>
      <c r="AA213">
        <f t="shared" si="12"/>
        <v>2263.2380212276585</v>
      </c>
      <c r="AB213" cm="1">
        <f t="array" ref="AB213">_xlfn.IFS(X213&lt;0.6,T213,0.9&lt;X213,T213,X213,AA213)</f>
        <v>2263.2380212276585</v>
      </c>
      <c r="AC213">
        <v>0.92613535199999997</v>
      </c>
      <c r="AD213">
        <v>2633.9899150000001</v>
      </c>
      <c r="AE213">
        <v>2633.9899150000001</v>
      </c>
      <c r="AG213">
        <v>0</v>
      </c>
      <c r="AH213">
        <v>212</v>
      </c>
    </row>
    <row r="214" spans="1:34" x14ac:dyDescent="0.25">
      <c r="A214" t="s">
        <v>768</v>
      </c>
      <c r="B214" t="s">
        <v>979</v>
      </c>
      <c r="D214" t="s">
        <v>770</v>
      </c>
      <c r="E214">
        <v>213</v>
      </c>
      <c r="H214">
        <v>3015</v>
      </c>
      <c r="I214">
        <v>3</v>
      </c>
      <c r="J214" t="s">
        <v>25</v>
      </c>
      <c r="K214">
        <v>100000</v>
      </c>
      <c r="L214" t="s">
        <v>54</v>
      </c>
      <c r="M214">
        <v>25</v>
      </c>
      <c r="N214">
        <v>315</v>
      </c>
      <c r="O214">
        <v>3</v>
      </c>
      <c r="P214">
        <v>15</v>
      </c>
      <c r="Q214">
        <v>62</v>
      </c>
      <c r="R214">
        <v>20.9</v>
      </c>
      <c r="S214">
        <v>647</v>
      </c>
      <c r="T214">
        <v>821</v>
      </c>
      <c r="U214" s="1">
        <v>45491</v>
      </c>
      <c r="V214" s="1">
        <v>45528</v>
      </c>
      <c r="W214">
        <v>130185</v>
      </c>
      <c r="X214">
        <v>0.95539696699999999</v>
      </c>
      <c r="Y214">
        <v>958.57433649999996</v>
      </c>
      <c r="Z214">
        <f t="shared" si="11"/>
        <v>1.0026984835000001</v>
      </c>
      <c r="AA214">
        <f t="shared" si="12"/>
        <v>818.790507326024</v>
      </c>
      <c r="AB214" cm="1">
        <f t="array" ref="AB214">_xlfn.IFS(X214&lt;0.6,T214,0.9&lt;X214,T214,X214,AA214)</f>
        <v>821</v>
      </c>
      <c r="AC214">
        <v>0.98438893800000005</v>
      </c>
      <c r="AD214">
        <v>898.49588289999997</v>
      </c>
      <c r="AE214">
        <v>821</v>
      </c>
      <c r="AG214">
        <v>0</v>
      </c>
      <c r="AH214">
        <v>213</v>
      </c>
    </row>
    <row r="215" spans="1:34" x14ac:dyDescent="0.25">
      <c r="A215" t="s">
        <v>768</v>
      </c>
      <c r="B215" t="s">
        <v>980</v>
      </c>
      <c r="D215" t="s">
        <v>770</v>
      </c>
      <c r="E215">
        <v>214</v>
      </c>
      <c r="H215">
        <v>4015</v>
      </c>
      <c r="I215">
        <v>3</v>
      </c>
      <c r="J215" t="s">
        <v>25</v>
      </c>
      <c r="K215">
        <v>100000</v>
      </c>
      <c r="L215" t="s">
        <v>58</v>
      </c>
      <c r="M215">
        <v>24</v>
      </c>
      <c r="N215">
        <v>415</v>
      </c>
      <c r="O215">
        <v>4</v>
      </c>
      <c r="P215">
        <v>15</v>
      </c>
      <c r="Q215">
        <v>63</v>
      </c>
      <c r="R215">
        <v>19.100000000000001</v>
      </c>
      <c r="S215">
        <v>488</v>
      </c>
      <c r="T215">
        <v>633</v>
      </c>
      <c r="U215" s="1">
        <v>45489</v>
      </c>
      <c r="V215" s="1">
        <v>45523</v>
      </c>
      <c r="W215">
        <v>127409</v>
      </c>
      <c r="X215">
        <v>0.95102404299999999</v>
      </c>
      <c r="Y215">
        <v>755.16434470000002</v>
      </c>
      <c r="Z215">
        <f t="shared" si="11"/>
        <v>1.0005120215000001</v>
      </c>
      <c r="AA215">
        <f t="shared" si="12"/>
        <v>632.67605625666135</v>
      </c>
      <c r="AB215" cm="1">
        <f t="array" ref="AB215">_xlfn.IFS(X215&lt;0.6,T215,0.9&lt;X215,T215,X215,AA215)</f>
        <v>633</v>
      </c>
      <c r="AC215">
        <v>0.98285841500000004</v>
      </c>
      <c r="AD215">
        <v>700.71810110000001</v>
      </c>
      <c r="AE215">
        <v>633</v>
      </c>
      <c r="AG215">
        <v>0</v>
      </c>
      <c r="AH215">
        <v>214</v>
      </c>
    </row>
    <row r="216" spans="1:34" x14ac:dyDescent="0.25">
      <c r="A216" t="s">
        <v>768</v>
      </c>
      <c r="B216" t="s">
        <v>981</v>
      </c>
      <c r="D216" t="s">
        <v>770</v>
      </c>
      <c r="E216">
        <v>215</v>
      </c>
      <c r="H216">
        <v>5015</v>
      </c>
      <c r="I216">
        <v>3</v>
      </c>
      <c r="J216" t="s">
        <v>25</v>
      </c>
      <c r="K216">
        <v>100000</v>
      </c>
      <c r="L216" t="s">
        <v>30</v>
      </c>
      <c r="M216">
        <v>30</v>
      </c>
      <c r="N216">
        <v>515</v>
      </c>
      <c r="O216">
        <v>5</v>
      </c>
      <c r="P216">
        <v>15</v>
      </c>
      <c r="Q216">
        <v>26</v>
      </c>
      <c r="R216">
        <v>19</v>
      </c>
      <c r="S216">
        <v>1395</v>
      </c>
      <c r="T216">
        <v>1813</v>
      </c>
      <c r="U216" s="1">
        <v>45497</v>
      </c>
      <c r="V216" s="1">
        <v>45534</v>
      </c>
      <c r="W216">
        <v>111164</v>
      </c>
      <c r="X216">
        <v>0.84539767600000004</v>
      </c>
      <c r="Y216">
        <v>2478.971376</v>
      </c>
      <c r="Z216">
        <f t="shared" si="11"/>
        <v>0.94769883799999999</v>
      </c>
      <c r="AA216">
        <f t="shared" si="12"/>
        <v>1913.0549994406556</v>
      </c>
      <c r="AB216" cm="1">
        <f t="array" ref="AB216">_xlfn.IFS(X216&lt;0.6,T216,0.9&lt;X216,T216,X216,AA216)</f>
        <v>1913.0549994406556</v>
      </c>
      <c r="AC216">
        <v>0.94588918700000002</v>
      </c>
      <c r="AD216">
        <v>2214.1255030000002</v>
      </c>
      <c r="AE216">
        <v>2214.1255030000002</v>
      </c>
      <c r="AG216">
        <v>0</v>
      </c>
      <c r="AH216">
        <v>215</v>
      </c>
    </row>
    <row r="217" spans="1:34" x14ac:dyDescent="0.25">
      <c r="A217" t="s">
        <v>768</v>
      </c>
      <c r="B217" t="s">
        <v>982</v>
      </c>
      <c r="D217" t="s">
        <v>770</v>
      </c>
      <c r="E217">
        <v>216</v>
      </c>
      <c r="H217">
        <v>6015</v>
      </c>
      <c r="I217">
        <v>3</v>
      </c>
      <c r="J217" t="s">
        <v>25</v>
      </c>
      <c r="K217">
        <v>100000</v>
      </c>
      <c r="L217" t="s">
        <v>74</v>
      </c>
      <c r="M217">
        <v>16</v>
      </c>
      <c r="N217">
        <v>615</v>
      </c>
      <c r="O217">
        <v>6</v>
      </c>
      <c r="P217">
        <v>15</v>
      </c>
      <c r="Q217">
        <v>29</v>
      </c>
      <c r="R217">
        <v>20.9</v>
      </c>
      <c r="S217">
        <v>1315</v>
      </c>
      <c r="T217">
        <v>1669</v>
      </c>
      <c r="U217" s="1">
        <v>45494</v>
      </c>
      <c r="V217" s="1">
        <v>45537</v>
      </c>
      <c r="W217">
        <v>83791</v>
      </c>
      <c r="X217">
        <v>0.51160714299999999</v>
      </c>
      <c r="Y217">
        <v>3027.6481840000001</v>
      </c>
      <c r="Z217">
        <f t="shared" si="11"/>
        <v>0.78080357150000002</v>
      </c>
      <c r="AA217">
        <f t="shared" si="12"/>
        <v>2137.5414520628892</v>
      </c>
      <c r="AB217" cm="1">
        <f t="array" ref="AB217">_xlfn.IFS(X217&lt;0.6,T217,0.9&lt;X217,T217,X217,AA217)</f>
        <v>1669</v>
      </c>
      <c r="AC217">
        <v>0.82906250000000004</v>
      </c>
      <c r="AD217">
        <v>2595.4725469999998</v>
      </c>
      <c r="AE217">
        <v>1669</v>
      </c>
      <c r="AG217">
        <v>0</v>
      </c>
      <c r="AH217">
        <v>216</v>
      </c>
    </row>
    <row r="218" spans="1:34" x14ac:dyDescent="0.25">
      <c r="A218" t="s">
        <v>768</v>
      </c>
      <c r="B218" t="s">
        <v>983</v>
      </c>
      <c r="D218" t="s">
        <v>770</v>
      </c>
      <c r="E218">
        <v>217</v>
      </c>
      <c r="H218">
        <v>7015</v>
      </c>
      <c r="I218">
        <v>3</v>
      </c>
      <c r="J218" t="s">
        <v>25</v>
      </c>
      <c r="K218">
        <v>100000</v>
      </c>
      <c r="L218" t="s">
        <v>62</v>
      </c>
      <c r="M218">
        <v>28</v>
      </c>
      <c r="N218">
        <v>715</v>
      </c>
      <c r="O218">
        <v>7</v>
      </c>
      <c r="P218">
        <v>15</v>
      </c>
      <c r="Q218">
        <v>23</v>
      </c>
      <c r="R218">
        <v>19.2</v>
      </c>
      <c r="S218">
        <v>1592</v>
      </c>
      <c r="T218">
        <v>2064</v>
      </c>
      <c r="U218" s="1">
        <v>45497</v>
      </c>
      <c r="W218">
        <v>97257</v>
      </c>
      <c r="X218">
        <v>0.66427932000000001</v>
      </c>
      <c r="Y218">
        <v>3225.7414480000002</v>
      </c>
      <c r="Z218">
        <f t="shared" si="11"/>
        <v>0.85713966000000008</v>
      </c>
      <c r="AA218">
        <f t="shared" si="12"/>
        <v>2408.0089818735023</v>
      </c>
      <c r="AB218" cm="1">
        <f t="array" ref="AB218">_xlfn.IFS(X218&lt;0.6,T218,0.9&lt;X218,T218,X218,AA218)</f>
        <v>2408.0089818735023</v>
      </c>
      <c r="AC218">
        <v>0.88249776199999996</v>
      </c>
      <c r="AD218">
        <v>2852.4706550000001</v>
      </c>
      <c r="AE218">
        <v>2852.4706550000001</v>
      </c>
      <c r="AG218">
        <v>0</v>
      </c>
      <c r="AH218">
        <v>217</v>
      </c>
    </row>
    <row r="219" spans="1:34" x14ac:dyDescent="0.25">
      <c r="A219" t="s">
        <v>768</v>
      </c>
      <c r="B219" t="s">
        <v>984</v>
      </c>
      <c r="D219" t="s">
        <v>770</v>
      </c>
      <c r="E219">
        <v>218</v>
      </c>
      <c r="H219">
        <v>8015</v>
      </c>
      <c r="I219">
        <v>3</v>
      </c>
      <c r="J219" t="s">
        <v>25</v>
      </c>
      <c r="K219">
        <v>100000</v>
      </c>
      <c r="L219" t="s">
        <v>66</v>
      </c>
      <c r="M219">
        <v>27</v>
      </c>
      <c r="N219">
        <v>815</v>
      </c>
      <c r="O219">
        <v>8</v>
      </c>
      <c r="P219">
        <v>15</v>
      </c>
      <c r="Q219">
        <v>67</v>
      </c>
      <c r="R219">
        <v>19</v>
      </c>
      <c r="S219">
        <v>592</v>
      </c>
      <c r="T219">
        <v>769</v>
      </c>
      <c r="U219" s="1">
        <v>45492</v>
      </c>
      <c r="W219">
        <v>130536</v>
      </c>
      <c r="X219">
        <v>0.94285714300000001</v>
      </c>
      <c r="Y219">
        <v>895.45824909999999</v>
      </c>
      <c r="Z219">
        <f t="shared" si="11"/>
        <v>0.99642857150000008</v>
      </c>
      <c r="AA219">
        <f t="shared" si="12"/>
        <v>771.75627234611056</v>
      </c>
      <c r="AB219" cm="1">
        <f t="array" ref="AB219">_xlfn.IFS(X219&lt;0.6,T219,0.9&lt;X219,T219,X219,AA219)</f>
        <v>769</v>
      </c>
      <c r="AC219">
        <v>0.98</v>
      </c>
      <c r="AD219">
        <v>844.31148210000003</v>
      </c>
      <c r="AE219">
        <v>769</v>
      </c>
      <c r="AG219">
        <v>0</v>
      </c>
      <c r="AH219">
        <v>218</v>
      </c>
    </row>
    <row r="220" spans="1:34" x14ac:dyDescent="0.25">
      <c r="A220" t="s">
        <v>768</v>
      </c>
      <c r="B220" t="s">
        <v>985</v>
      </c>
      <c r="D220" t="s">
        <v>770</v>
      </c>
      <c r="E220">
        <v>219</v>
      </c>
      <c r="H220">
        <v>9015</v>
      </c>
      <c r="I220">
        <v>3</v>
      </c>
      <c r="J220" t="s">
        <v>25</v>
      </c>
      <c r="K220">
        <v>100000</v>
      </c>
      <c r="L220" t="s">
        <v>46</v>
      </c>
      <c r="M220">
        <v>20</v>
      </c>
      <c r="N220">
        <v>915</v>
      </c>
      <c r="O220">
        <v>9</v>
      </c>
      <c r="P220">
        <v>15</v>
      </c>
      <c r="Q220">
        <v>41</v>
      </c>
      <c r="R220">
        <v>18.399999999999999</v>
      </c>
      <c r="S220">
        <v>1559</v>
      </c>
      <c r="T220">
        <v>2041</v>
      </c>
      <c r="U220" s="1">
        <v>45492</v>
      </c>
      <c r="V220" s="1">
        <v>45530</v>
      </c>
      <c r="W220">
        <v>126603</v>
      </c>
      <c r="X220">
        <v>0.96791443899999996</v>
      </c>
      <c r="Y220">
        <v>2450.4316640000002</v>
      </c>
      <c r="Z220">
        <f t="shared" si="11"/>
        <v>1.0089572195000001</v>
      </c>
      <c r="AA220">
        <f t="shared" si="12"/>
        <v>2022.8806143152831</v>
      </c>
      <c r="AB220" cm="1">
        <f t="array" ref="AB220">_xlfn.IFS(X220&lt;0.6,T220,0.9&lt;X220,T220,X220,AA220)</f>
        <v>2041</v>
      </c>
      <c r="AC220">
        <v>0.98877005399999995</v>
      </c>
      <c r="AD220">
        <v>2252.3480140000001</v>
      </c>
      <c r="AE220">
        <v>2041</v>
      </c>
      <c r="AG220">
        <v>0</v>
      </c>
      <c r="AH220">
        <v>219</v>
      </c>
    </row>
    <row r="221" spans="1:34" x14ac:dyDescent="0.25">
      <c r="A221" t="s">
        <v>768</v>
      </c>
      <c r="B221" t="s">
        <v>986</v>
      </c>
      <c r="D221" t="s">
        <v>770</v>
      </c>
      <c r="E221">
        <v>220</v>
      </c>
      <c r="H221">
        <v>10015</v>
      </c>
      <c r="I221">
        <v>3</v>
      </c>
      <c r="J221" t="s">
        <v>25</v>
      </c>
      <c r="K221">
        <v>100000</v>
      </c>
      <c r="L221" t="s">
        <v>38</v>
      </c>
      <c r="M221">
        <v>18</v>
      </c>
      <c r="N221">
        <v>1015</v>
      </c>
      <c r="O221">
        <v>10</v>
      </c>
      <c r="P221">
        <v>15</v>
      </c>
      <c r="Q221">
        <v>41</v>
      </c>
      <c r="R221">
        <v>20.3</v>
      </c>
      <c r="S221">
        <v>1672</v>
      </c>
      <c r="T221">
        <v>2138</v>
      </c>
      <c r="U221" s="1">
        <v>45496</v>
      </c>
      <c r="V221" s="1">
        <v>45534</v>
      </c>
      <c r="W221">
        <v>124700</v>
      </c>
      <c r="X221">
        <v>0.94112399599999996</v>
      </c>
      <c r="Y221">
        <v>2606.0111149999998</v>
      </c>
      <c r="Z221">
        <f t="shared" si="11"/>
        <v>0.995561998</v>
      </c>
      <c r="AA221">
        <f t="shared" si="12"/>
        <v>2147.5307457446766</v>
      </c>
      <c r="AB221" cm="1">
        <f t="array" ref="AB221">_xlfn.IFS(X221&lt;0.6,T221,0.9&lt;X221,T221,X221,AA221)</f>
        <v>2138</v>
      </c>
      <c r="AC221">
        <v>0.979393399</v>
      </c>
      <c r="AD221">
        <v>2398.3418729999999</v>
      </c>
      <c r="AE221">
        <v>2138</v>
      </c>
      <c r="AG221">
        <v>0</v>
      </c>
      <c r="AH221">
        <v>220</v>
      </c>
    </row>
    <row r="222" spans="1:34" x14ac:dyDescent="0.25">
      <c r="A222" t="s">
        <v>768</v>
      </c>
      <c r="B222" t="s">
        <v>987</v>
      </c>
      <c r="D222" t="s">
        <v>770</v>
      </c>
      <c r="E222">
        <v>221</v>
      </c>
      <c r="H222">
        <v>11015</v>
      </c>
      <c r="I222">
        <v>3</v>
      </c>
      <c r="J222" t="s">
        <v>25</v>
      </c>
      <c r="K222">
        <v>100000</v>
      </c>
      <c r="L222" t="s">
        <v>80</v>
      </c>
      <c r="M222">
        <v>17</v>
      </c>
      <c r="N222">
        <v>1115</v>
      </c>
      <c r="O222">
        <v>11</v>
      </c>
      <c r="P222">
        <v>15</v>
      </c>
      <c r="Q222">
        <v>26</v>
      </c>
      <c r="R222">
        <v>20.2</v>
      </c>
      <c r="S222">
        <v>1727</v>
      </c>
      <c r="T222">
        <v>2211</v>
      </c>
      <c r="U222" s="1">
        <v>45497</v>
      </c>
      <c r="V222" s="1">
        <v>45535</v>
      </c>
      <c r="W222">
        <v>125703</v>
      </c>
      <c r="X222">
        <v>0.95900178300000005</v>
      </c>
      <c r="Y222">
        <v>2673.540011</v>
      </c>
      <c r="Z222">
        <f t="shared" si="11"/>
        <v>1.0045008915</v>
      </c>
      <c r="AA222">
        <f t="shared" si="12"/>
        <v>2201.0931186913735</v>
      </c>
      <c r="AB222" cm="1">
        <f t="array" ref="AB222">_xlfn.IFS(X222&lt;0.6,T222,0.9&lt;X222,T222,X222,AA222)</f>
        <v>2211</v>
      </c>
      <c r="AC222">
        <v>0.98565062400000003</v>
      </c>
      <c r="AD222">
        <v>2455.6063829999998</v>
      </c>
      <c r="AE222">
        <v>2211</v>
      </c>
      <c r="AG222">
        <v>0</v>
      </c>
      <c r="AH222">
        <v>221</v>
      </c>
    </row>
    <row r="223" spans="1:34" x14ac:dyDescent="0.25">
      <c r="A223" t="s">
        <v>768</v>
      </c>
      <c r="B223" t="s">
        <v>988</v>
      </c>
      <c r="D223" t="s">
        <v>770</v>
      </c>
      <c r="E223">
        <v>222</v>
      </c>
      <c r="H223">
        <v>12015</v>
      </c>
      <c r="I223">
        <v>3</v>
      </c>
      <c r="J223" t="s">
        <v>25</v>
      </c>
      <c r="K223">
        <v>100000</v>
      </c>
      <c r="L223" t="s">
        <v>78</v>
      </c>
      <c r="M223">
        <v>21</v>
      </c>
      <c r="N223">
        <v>1215</v>
      </c>
      <c r="O223">
        <v>12</v>
      </c>
      <c r="P223">
        <v>15</v>
      </c>
      <c r="Q223">
        <v>58</v>
      </c>
      <c r="R223">
        <v>20</v>
      </c>
      <c r="S223">
        <v>676</v>
      </c>
      <c r="T223">
        <v>868</v>
      </c>
      <c r="U223" s="1">
        <v>45492</v>
      </c>
      <c r="V223" s="1">
        <v>45527</v>
      </c>
      <c r="W223">
        <v>126514</v>
      </c>
      <c r="X223">
        <v>0.93828264800000005</v>
      </c>
      <c r="Y223">
        <v>1042.8569170000001</v>
      </c>
      <c r="Z223">
        <f t="shared" si="11"/>
        <v>0.9941413240000001</v>
      </c>
      <c r="AA223">
        <f t="shared" si="12"/>
        <v>873.11529965129978</v>
      </c>
      <c r="AB223" cm="1">
        <f t="array" ref="AB223">_xlfn.IFS(X223&lt;0.6,T223,0.9&lt;X223,T223,X223,AA223)</f>
        <v>868</v>
      </c>
      <c r="AC223">
        <v>0.97839892699999997</v>
      </c>
      <c r="AD223">
        <v>968.34543740000004</v>
      </c>
      <c r="AE223">
        <v>868</v>
      </c>
      <c r="AG223">
        <v>0</v>
      </c>
      <c r="AH223">
        <v>222</v>
      </c>
    </row>
    <row r="224" spans="1:34" x14ac:dyDescent="0.25">
      <c r="A224" t="s">
        <v>768</v>
      </c>
      <c r="B224" t="s">
        <v>989</v>
      </c>
      <c r="D224" t="s">
        <v>770</v>
      </c>
      <c r="E224">
        <v>223</v>
      </c>
      <c r="H224">
        <v>13015</v>
      </c>
      <c r="I224">
        <v>3</v>
      </c>
      <c r="J224" t="s">
        <v>25</v>
      </c>
      <c r="K224">
        <v>100000</v>
      </c>
      <c r="L224" t="s">
        <v>34</v>
      </c>
      <c r="M224">
        <v>26</v>
      </c>
      <c r="N224">
        <v>1315</v>
      </c>
      <c r="O224">
        <v>13</v>
      </c>
      <c r="P224">
        <v>15</v>
      </c>
      <c r="Q224">
        <v>57</v>
      </c>
      <c r="R224">
        <v>19.2</v>
      </c>
      <c r="S224">
        <v>381</v>
      </c>
      <c r="T224">
        <v>494</v>
      </c>
      <c r="U224" s="1">
        <v>45492</v>
      </c>
      <c r="V224" s="1">
        <v>45525</v>
      </c>
      <c r="W224">
        <v>129811</v>
      </c>
      <c r="X224">
        <v>0.95617173499999997</v>
      </c>
      <c r="Y224">
        <v>578.44857520000005</v>
      </c>
      <c r="Z224">
        <f t="shared" si="11"/>
        <v>1.0030858675000001</v>
      </c>
      <c r="AA224">
        <f t="shared" si="12"/>
        <v>492.48027113690739</v>
      </c>
      <c r="AB224" cm="1">
        <f t="array" ref="AB224">_xlfn.IFS(X224&lt;0.6,T224,0.9&lt;X224,T224,X224,AA224)</f>
        <v>494</v>
      </c>
      <c r="AC224">
        <v>0.98466010699999995</v>
      </c>
      <c r="AD224">
        <v>541.20136149999996</v>
      </c>
      <c r="AE224">
        <v>494</v>
      </c>
      <c r="AG224">
        <v>0</v>
      </c>
      <c r="AH224">
        <v>223</v>
      </c>
    </row>
    <row r="225" spans="1:34" x14ac:dyDescent="0.25">
      <c r="A225" t="s">
        <v>768</v>
      </c>
      <c r="B225" t="s">
        <v>990</v>
      </c>
      <c r="D225" t="s">
        <v>770</v>
      </c>
      <c r="E225">
        <v>224</v>
      </c>
      <c r="H225">
        <v>14015</v>
      </c>
      <c r="I225">
        <v>3</v>
      </c>
      <c r="J225" t="s">
        <v>25</v>
      </c>
      <c r="K225">
        <v>100000</v>
      </c>
      <c r="L225" t="s">
        <v>42</v>
      </c>
      <c r="M225">
        <v>29</v>
      </c>
      <c r="N225">
        <v>1415</v>
      </c>
      <c r="O225">
        <v>14</v>
      </c>
      <c r="P225">
        <v>15</v>
      </c>
      <c r="Q225">
        <v>44</v>
      </c>
      <c r="R225">
        <v>18.2</v>
      </c>
      <c r="S225">
        <v>1194</v>
      </c>
      <c r="T225">
        <v>1567</v>
      </c>
      <c r="U225" s="1">
        <v>45493</v>
      </c>
      <c r="V225" s="1">
        <v>45530</v>
      </c>
      <c r="W225">
        <v>127659</v>
      </c>
      <c r="X225">
        <v>0.94919786100000003</v>
      </c>
      <c r="Y225">
        <v>1865.7830630000001</v>
      </c>
      <c r="Z225">
        <f t="shared" si="11"/>
        <v>0.99959893050000004</v>
      </c>
      <c r="AA225">
        <f t="shared" si="12"/>
        <v>1567.6287280701526</v>
      </c>
      <c r="AB225" cm="1">
        <f t="array" ref="AB225">_xlfn.IFS(X225&lt;0.6,T225,0.9&lt;X225,T225,X225,AA225)</f>
        <v>1567</v>
      </c>
      <c r="AC225">
        <v>0.98221925099999996</v>
      </c>
      <c r="AD225">
        <v>1734.2245809999999</v>
      </c>
      <c r="AE225">
        <v>1567</v>
      </c>
      <c r="AG225">
        <v>0</v>
      </c>
      <c r="AH225">
        <v>224</v>
      </c>
    </row>
    <row r="226" spans="1:34" x14ac:dyDescent="0.25">
      <c r="A226" t="s">
        <v>768</v>
      </c>
      <c r="B226" t="s">
        <v>991</v>
      </c>
      <c r="D226" t="s">
        <v>770</v>
      </c>
      <c r="E226">
        <v>225</v>
      </c>
      <c r="H226">
        <v>15015</v>
      </c>
      <c r="I226">
        <v>3</v>
      </c>
      <c r="J226" t="s">
        <v>25</v>
      </c>
      <c r="K226">
        <v>100000</v>
      </c>
      <c r="L226" t="s">
        <v>70</v>
      </c>
      <c r="M226">
        <v>22</v>
      </c>
      <c r="N226">
        <v>1515</v>
      </c>
      <c r="O226">
        <v>15</v>
      </c>
      <c r="P226">
        <v>15</v>
      </c>
      <c r="Q226">
        <v>46</v>
      </c>
      <c r="R226">
        <v>18.5</v>
      </c>
      <c r="S226">
        <v>1015</v>
      </c>
      <c r="T226">
        <v>1327</v>
      </c>
      <c r="U226" s="1">
        <v>45495</v>
      </c>
      <c r="W226">
        <v>99203</v>
      </c>
      <c r="X226">
        <v>0.71198568900000003</v>
      </c>
      <c r="Y226">
        <v>2033.258339</v>
      </c>
      <c r="Z226">
        <f t="shared" si="11"/>
        <v>0.88099284450000004</v>
      </c>
      <c r="AA226">
        <f t="shared" si="12"/>
        <v>1506.255139623895</v>
      </c>
      <c r="AB226" cm="1">
        <f t="array" ref="AB226">_xlfn.IFS(X226&lt;0.6,T226,0.9&lt;X226,T226,X226,AA226)</f>
        <v>1506.255139623895</v>
      </c>
      <c r="AC226">
        <v>0.899194991</v>
      </c>
      <c r="AD226">
        <v>1785.940286</v>
      </c>
      <c r="AE226">
        <v>1785.940286</v>
      </c>
      <c r="AG226">
        <v>0</v>
      </c>
      <c r="AH226">
        <v>225</v>
      </c>
    </row>
    <row r="227" spans="1:34" x14ac:dyDescent="0.25">
      <c r="A227" t="s">
        <v>768</v>
      </c>
      <c r="B227" t="s">
        <v>992</v>
      </c>
      <c r="D227" t="s">
        <v>770</v>
      </c>
      <c r="E227">
        <v>226</v>
      </c>
      <c r="H227">
        <v>15016</v>
      </c>
      <c r="I227">
        <v>3</v>
      </c>
      <c r="J227" t="s">
        <v>771</v>
      </c>
      <c r="K227">
        <v>100000</v>
      </c>
      <c r="L227" t="s">
        <v>46</v>
      </c>
      <c r="M227">
        <v>65</v>
      </c>
      <c r="N227">
        <v>1516</v>
      </c>
      <c r="O227">
        <v>15</v>
      </c>
      <c r="P227">
        <v>16</v>
      </c>
      <c r="Q227">
        <v>25</v>
      </c>
      <c r="R227">
        <v>17.899999999999999</v>
      </c>
      <c r="S227">
        <v>2074</v>
      </c>
      <c r="T227">
        <v>2732</v>
      </c>
      <c r="U227" s="1">
        <v>45495</v>
      </c>
      <c r="V227" s="1">
        <v>45530</v>
      </c>
      <c r="W227">
        <v>147230</v>
      </c>
      <c r="X227">
        <v>0.96861204899999997</v>
      </c>
      <c r="Y227">
        <v>2820.5306799999998</v>
      </c>
      <c r="Z227">
        <f t="shared" si="11"/>
        <v>1.0093060245000001</v>
      </c>
      <c r="AA227">
        <f t="shared" si="12"/>
        <v>2706.8103565055058</v>
      </c>
      <c r="AB227" cm="1">
        <f t="array" ref="AB227">_xlfn.IFS(X227&lt;0.6,T227,0.9&lt;X227,T227,X227,AA227)</f>
        <v>2732</v>
      </c>
      <c r="AC227">
        <v>0.98901421700000003</v>
      </c>
      <c r="AD227">
        <v>2806.3899550000001</v>
      </c>
      <c r="AE227">
        <v>2732</v>
      </c>
      <c r="AG227">
        <v>0</v>
      </c>
      <c r="AH227">
        <v>226</v>
      </c>
    </row>
    <row r="228" spans="1:34" x14ac:dyDescent="0.25">
      <c r="A228" t="s">
        <v>768</v>
      </c>
      <c r="B228" t="s">
        <v>993</v>
      </c>
      <c r="D228" t="s">
        <v>770</v>
      </c>
      <c r="E228">
        <v>227</v>
      </c>
      <c r="H228">
        <v>14016</v>
      </c>
      <c r="I228">
        <v>3</v>
      </c>
      <c r="J228" t="s">
        <v>771</v>
      </c>
      <c r="K228">
        <v>100000</v>
      </c>
      <c r="L228" t="s">
        <v>62</v>
      </c>
      <c r="M228">
        <v>73</v>
      </c>
      <c r="N228">
        <v>1416</v>
      </c>
      <c r="O228">
        <v>14</v>
      </c>
      <c r="P228">
        <v>16</v>
      </c>
      <c r="Q228">
        <v>27</v>
      </c>
      <c r="R228">
        <v>17.600000000000001</v>
      </c>
      <c r="S228">
        <v>2041</v>
      </c>
      <c r="T228">
        <v>2699</v>
      </c>
      <c r="U228" s="1">
        <v>45497</v>
      </c>
      <c r="V228" s="1">
        <v>45535</v>
      </c>
      <c r="W228">
        <v>148583</v>
      </c>
      <c r="X228">
        <v>0.977532599</v>
      </c>
      <c r="Y228">
        <v>2761.0332410000001</v>
      </c>
      <c r="Z228">
        <f t="shared" si="11"/>
        <v>1.0137662995000001</v>
      </c>
      <c r="AA228">
        <f t="shared" si="12"/>
        <v>2662.3493021332179</v>
      </c>
      <c r="AB228" cm="1">
        <f t="array" ref="AB228">_xlfn.IFS(X228&lt;0.6,T228,0.9&lt;X228,T228,X228,AA228)</f>
        <v>2699</v>
      </c>
      <c r="AC228">
        <v>0.99213640999999997</v>
      </c>
      <c r="AD228">
        <v>2751.299321</v>
      </c>
      <c r="AE228">
        <v>2699</v>
      </c>
      <c r="AG228">
        <v>0</v>
      </c>
      <c r="AH228">
        <v>227</v>
      </c>
    </row>
    <row r="229" spans="1:34" x14ac:dyDescent="0.25">
      <c r="A229" t="s">
        <v>768</v>
      </c>
      <c r="B229" t="s">
        <v>994</v>
      </c>
      <c r="D229" t="s">
        <v>770</v>
      </c>
      <c r="E229">
        <v>228</v>
      </c>
      <c r="H229">
        <v>13016</v>
      </c>
      <c r="I229">
        <v>3</v>
      </c>
      <c r="J229" t="s">
        <v>771</v>
      </c>
      <c r="K229">
        <v>100000</v>
      </c>
      <c r="L229" t="s">
        <v>70</v>
      </c>
      <c r="M229">
        <v>67</v>
      </c>
      <c r="N229">
        <v>1316</v>
      </c>
      <c r="O229">
        <v>13</v>
      </c>
      <c r="P229">
        <v>16</v>
      </c>
      <c r="Q229">
        <v>45</v>
      </c>
      <c r="R229">
        <v>19.600000000000001</v>
      </c>
      <c r="S229">
        <v>1474</v>
      </c>
      <c r="T229">
        <v>1902</v>
      </c>
      <c r="U229" s="1">
        <v>45499</v>
      </c>
      <c r="V229" s="1">
        <v>45536</v>
      </c>
      <c r="W229">
        <v>138020</v>
      </c>
      <c r="X229">
        <v>0.90802631599999994</v>
      </c>
      <c r="Y229">
        <v>2094.6529489999998</v>
      </c>
      <c r="Z229">
        <f t="shared" si="11"/>
        <v>0.97901315799999999</v>
      </c>
      <c r="AA229">
        <f t="shared" si="12"/>
        <v>1942.7726629185918</v>
      </c>
      <c r="AB229" cm="1">
        <f t="array" ref="AB229">_xlfn.IFS(X229&lt;0.6,T229,0.9&lt;X229,T229,X229,AA229)</f>
        <v>1902</v>
      </c>
      <c r="AC229">
        <v>0.96780921099999995</v>
      </c>
      <c r="AD229">
        <v>2059.9960940000001</v>
      </c>
      <c r="AE229">
        <v>1902</v>
      </c>
      <c r="AG229">
        <v>0</v>
      </c>
      <c r="AH229">
        <v>228</v>
      </c>
    </row>
    <row r="230" spans="1:34" x14ac:dyDescent="0.25">
      <c r="A230" t="s">
        <v>768</v>
      </c>
      <c r="B230" t="s">
        <v>995</v>
      </c>
      <c r="D230" t="s">
        <v>770</v>
      </c>
      <c r="E230">
        <v>229</v>
      </c>
      <c r="H230">
        <v>12016</v>
      </c>
      <c r="I230">
        <v>3</v>
      </c>
      <c r="J230" t="s">
        <v>771</v>
      </c>
      <c r="K230">
        <v>100000</v>
      </c>
      <c r="L230" t="s">
        <v>42</v>
      </c>
      <c r="M230">
        <v>74</v>
      </c>
      <c r="N230">
        <v>1216</v>
      </c>
      <c r="O230">
        <v>12</v>
      </c>
      <c r="P230">
        <v>16</v>
      </c>
      <c r="Q230">
        <v>43</v>
      </c>
      <c r="R230">
        <v>17.600000000000001</v>
      </c>
      <c r="S230">
        <v>1402</v>
      </c>
      <c r="T230">
        <v>1854</v>
      </c>
      <c r="U230" s="1">
        <v>45493</v>
      </c>
      <c r="V230" s="1">
        <v>45528</v>
      </c>
      <c r="W230">
        <v>151711</v>
      </c>
      <c r="X230">
        <v>0.99809868400000001</v>
      </c>
      <c r="Y230">
        <v>1857.5317540000001</v>
      </c>
      <c r="Z230">
        <f t="shared" si="11"/>
        <v>1.0240493420000001</v>
      </c>
      <c r="AA230">
        <f t="shared" si="12"/>
        <v>1810.4596370122954</v>
      </c>
      <c r="AB230" cm="1">
        <f t="array" ref="AB230">_xlfn.IFS(X230&lt;0.6,T230,0.9&lt;X230,T230,X230,AA230)</f>
        <v>1854</v>
      </c>
      <c r="AC230">
        <v>0.99933453900000002</v>
      </c>
      <c r="AD230">
        <v>1856.999957</v>
      </c>
      <c r="AE230">
        <v>1854</v>
      </c>
      <c r="AG230">
        <v>0</v>
      </c>
      <c r="AH230">
        <v>229</v>
      </c>
    </row>
    <row r="231" spans="1:34" x14ac:dyDescent="0.25">
      <c r="A231" t="s">
        <v>768</v>
      </c>
      <c r="B231" t="s">
        <v>996</v>
      </c>
      <c r="D231" t="s">
        <v>770</v>
      </c>
      <c r="E231">
        <v>230</v>
      </c>
      <c r="H231">
        <v>11016</v>
      </c>
      <c r="I231">
        <v>3</v>
      </c>
      <c r="J231" t="s">
        <v>771</v>
      </c>
      <c r="K231">
        <v>100000</v>
      </c>
      <c r="L231" t="s">
        <v>30</v>
      </c>
      <c r="M231">
        <v>75</v>
      </c>
      <c r="N231">
        <v>1116</v>
      </c>
      <c r="O231">
        <v>11</v>
      </c>
      <c r="P231">
        <v>16</v>
      </c>
      <c r="Q231">
        <v>29</v>
      </c>
      <c r="R231">
        <v>20.8</v>
      </c>
      <c r="S231">
        <v>2007</v>
      </c>
      <c r="T231">
        <v>2551</v>
      </c>
      <c r="U231" s="1">
        <v>45499</v>
      </c>
      <c r="V231" s="1">
        <v>45534</v>
      </c>
      <c r="W231">
        <v>135047</v>
      </c>
      <c r="X231">
        <v>0.88846126000000003</v>
      </c>
      <c r="Y231">
        <v>2871.2563110000001</v>
      </c>
      <c r="Z231">
        <f t="shared" si="11"/>
        <v>0.96923062999999998</v>
      </c>
      <c r="AA231">
        <f t="shared" si="12"/>
        <v>2631.98450507079</v>
      </c>
      <c r="AB231" cm="1">
        <f t="array" ref="AB231">_xlfn.IFS(X231&lt;0.6,T231,0.9&lt;X231,T231,X231,AA231)</f>
        <v>2631.98450507079</v>
      </c>
      <c r="AC231">
        <v>0.96096144100000003</v>
      </c>
      <c r="AD231">
        <v>2811.4244170000002</v>
      </c>
      <c r="AE231">
        <v>2811.4244170000002</v>
      </c>
      <c r="AG231">
        <v>0</v>
      </c>
      <c r="AH231">
        <v>230</v>
      </c>
    </row>
    <row r="232" spans="1:34" x14ac:dyDescent="0.25">
      <c r="A232" t="s">
        <v>768</v>
      </c>
      <c r="B232" t="s">
        <v>997</v>
      </c>
      <c r="D232" t="s">
        <v>770</v>
      </c>
      <c r="E232">
        <v>231</v>
      </c>
      <c r="H232">
        <v>10016</v>
      </c>
      <c r="I232">
        <v>3</v>
      </c>
      <c r="J232" t="s">
        <v>771</v>
      </c>
      <c r="K232">
        <v>100000</v>
      </c>
      <c r="L232" t="s">
        <v>58</v>
      </c>
      <c r="M232">
        <v>69</v>
      </c>
      <c r="N232">
        <v>1016</v>
      </c>
      <c r="O232">
        <v>10</v>
      </c>
      <c r="P232">
        <v>16</v>
      </c>
      <c r="Q232">
        <v>69</v>
      </c>
      <c r="R232">
        <v>19.2</v>
      </c>
      <c r="S232">
        <v>398</v>
      </c>
      <c r="T232">
        <v>516</v>
      </c>
      <c r="U232" s="1">
        <v>45489</v>
      </c>
      <c r="V232" s="1">
        <v>45525</v>
      </c>
      <c r="W232">
        <v>147552</v>
      </c>
      <c r="X232">
        <v>0.97072406899999997</v>
      </c>
      <c r="Y232">
        <v>531.56197139999995</v>
      </c>
      <c r="Z232">
        <f t="shared" si="11"/>
        <v>1.0103620345</v>
      </c>
      <c r="AA232">
        <f t="shared" si="12"/>
        <v>510.70802581705681</v>
      </c>
      <c r="AB232" cm="1">
        <f t="array" ref="AB232">_xlfn.IFS(X232&lt;0.6,T232,0.9&lt;X232,T232,X232,AA232)</f>
        <v>516</v>
      </c>
      <c r="AC232">
        <v>0.98975342399999999</v>
      </c>
      <c r="AD232">
        <v>529.08672320000005</v>
      </c>
      <c r="AE232">
        <v>516</v>
      </c>
      <c r="AG232">
        <v>0</v>
      </c>
      <c r="AH232">
        <v>231</v>
      </c>
    </row>
    <row r="233" spans="1:34" x14ac:dyDescent="0.25">
      <c r="A233" t="s">
        <v>768</v>
      </c>
      <c r="B233" t="s">
        <v>998</v>
      </c>
      <c r="D233" t="s">
        <v>770</v>
      </c>
      <c r="E233">
        <v>232</v>
      </c>
      <c r="H233">
        <v>9016</v>
      </c>
      <c r="I233">
        <v>3</v>
      </c>
      <c r="J233" t="s">
        <v>771</v>
      </c>
      <c r="K233">
        <v>100000</v>
      </c>
      <c r="L233" t="s">
        <v>66</v>
      </c>
      <c r="M233">
        <v>72</v>
      </c>
      <c r="N233">
        <v>916</v>
      </c>
      <c r="O233">
        <v>9</v>
      </c>
      <c r="P233">
        <v>16</v>
      </c>
      <c r="Q233">
        <v>70</v>
      </c>
      <c r="R233">
        <v>20.100000000000001</v>
      </c>
      <c r="S233">
        <v>728</v>
      </c>
      <c r="T233">
        <v>933</v>
      </c>
      <c r="U233" s="1">
        <v>45493</v>
      </c>
      <c r="V233" s="1">
        <v>45536</v>
      </c>
      <c r="W233">
        <v>150057</v>
      </c>
      <c r="X233">
        <v>0.98721060999999999</v>
      </c>
      <c r="Y233">
        <v>945.08708690000003</v>
      </c>
      <c r="Z233">
        <f t="shared" si="11"/>
        <v>1.0186053049999999</v>
      </c>
      <c r="AA233">
        <f t="shared" si="12"/>
        <v>915.9583161605467</v>
      </c>
      <c r="AB233" cm="1">
        <f t="array" ref="AB233">_xlfn.IFS(X233&lt;0.6,T233,0.9&lt;X233,T233,X233,AA233)</f>
        <v>933</v>
      </c>
      <c r="AC233">
        <v>0.99552371399999995</v>
      </c>
      <c r="AD233">
        <v>943.22680170000001</v>
      </c>
      <c r="AE233">
        <v>933</v>
      </c>
      <c r="AG233">
        <v>0</v>
      </c>
      <c r="AH233">
        <v>232</v>
      </c>
    </row>
    <row r="234" spans="1:34" x14ac:dyDescent="0.25">
      <c r="A234" t="s">
        <v>768</v>
      </c>
      <c r="B234" t="s">
        <v>999</v>
      </c>
      <c r="D234" t="s">
        <v>770</v>
      </c>
      <c r="E234">
        <v>233</v>
      </c>
      <c r="H234">
        <v>8016</v>
      </c>
      <c r="I234">
        <v>3</v>
      </c>
      <c r="J234" t="s">
        <v>771</v>
      </c>
      <c r="K234">
        <v>100000</v>
      </c>
      <c r="L234" t="s">
        <v>54</v>
      </c>
      <c r="M234">
        <v>70</v>
      </c>
      <c r="N234">
        <v>816</v>
      </c>
      <c r="O234">
        <v>8</v>
      </c>
      <c r="P234">
        <v>16</v>
      </c>
      <c r="Q234">
        <v>51</v>
      </c>
      <c r="R234">
        <v>21.1</v>
      </c>
      <c r="S234">
        <v>857</v>
      </c>
      <c r="T234">
        <v>1085</v>
      </c>
      <c r="U234" s="1">
        <v>45490</v>
      </c>
      <c r="V234" s="1">
        <v>45525</v>
      </c>
      <c r="W234">
        <v>145338</v>
      </c>
      <c r="X234">
        <v>0.95617105300000005</v>
      </c>
      <c r="Y234">
        <v>1134.7342060000001</v>
      </c>
      <c r="Z234">
        <f t="shared" si="11"/>
        <v>1.0030855265</v>
      </c>
      <c r="AA234">
        <f t="shared" si="12"/>
        <v>1081.6625016869884</v>
      </c>
      <c r="AB234" cm="1">
        <f t="array" ref="AB234">_xlfn.IFS(X234&lt;0.6,T234,0.9&lt;X234,T234,X234,AA234)</f>
        <v>1085</v>
      </c>
      <c r="AC234">
        <v>0.98465986900000002</v>
      </c>
      <c r="AD234">
        <v>1126.592013</v>
      </c>
      <c r="AE234">
        <v>1085</v>
      </c>
      <c r="AG234">
        <v>0</v>
      </c>
      <c r="AH234">
        <v>233</v>
      </c>
    </row>
    <row r="235" spans="1:34" x14ac:dyDescent="0.25">
      <c r="A235" t="s">
        <v>768</v>
      </c>
      <c r="B235" t="s">
        <v>1000</v>
      </c>
      <c r="D235" t="s">
        <v>770</v>
      </c>
      <c r="E235">
        <v>234</v>
      </c>
      <c r="H235">
        <v>7016</v>
      </c>
      <c r="I235">
        <v>3</v>
      </c>
      <c r="J235" t="s">
        <v>771</v>
      </c>
      <c r="K235">
        <v>100000</v>
      </c>
      <c r="L235" t="s">
        <v>50</v>
      </c>
      <c r="M235">
        <v>64</v>
      </c>
      <c r="N235">
        <v>716</v>
      </c>
      <c r="O235">
        <v>7</v>
      </c>
      <c r="P235">
        <v>16</v>
      </c>
      <c r="Q235">
        <v>75</v>
      </c>
      <c r="R235">
        <v>21.2</v>
      </c>
      <c r="S235">
        <v>895</v>
      </c>
      <c r="T235">
        <v>1132</v>
      </c>
      <c r="U235" s="1">
        <v>45493</v>
      </c>
      <c r="W235">
        <v>151812</v>
      </c>
      <c r="X235">
        <v>0.99875658700000003</v>
      </c>
      <c r="Y235">
        <v>1133.409296</v>
      </c>
      <c r="Z235">
        <f t="shared" si="11"/>
        <v>1.0243782935000001</v>
      </c>
      <c r="AA235">
        <f t="shared" si="12"/>
        <v>1105.0605105388247</v>
      </c>
      <c r="AB235" cm="1">
        <f t="array" ref="AB235">_xlfn.IFS(X235&lt;0.6,T235,0.9&lt;X235,T235,X235,AA235)</f>
        <v>1132</v>
      </c>
      <c r="AC235">
        <v>0.999564805</v>
      </c>
      <c r="AD235">
        <v>1133.197371</v>
      </c>
      <c r="AE235">
        <v>1132</v>
      </c>
      <c r="AG235">
        <v>0</v>
      </c>
      <c r="AH235">
        <v>234</v>
      </c>
    </row>
    <row r="236" spans="1:34" x14ac:dyDescent="0.25">
      <c r="A236" t="s">
        <v>768</v>
      </c>
      <c r="B236" s="2" t="s">
        <v>1001</v>
      </c>
      <c r="D236" t="s">
        <v>770</v>
      </c>
      <c r="E236">
        <v>235</v>
      </c>
      <c r="H236">
        <v>6016</v>
      </c>
      <c r="I236">
        <v>3</v>
      </c>
      <c r="J236" t="s">
        <v>771</v>
      </c>
      <c r="K236">
        <v>100000</v>
      </c>
      <c r="L236" t="s">
        <v>78</v>
      </c>
      <c r="M236">
        <v>66</v>
      </c>
      <c r="N236">
        <v>616</v>
      </c>
      <c r="O236">
        <v>6</v>
      </c>
      <c r="P236">
        <v>16</v>
      </c>
      <c r="Q236">
        <v>58</v>
      </c>
      <c r="R236">
        <v>17.7</v>
      </c>
      <c r="S236">
        <v>980</v>
      </c>
      <c r="T236">
        <v>1294</v>
      </c>
      <c r="U236" s="1">
        <v>45491</v>
      </c>
      <c r="V236" s="1">
        <v>45525</v>
      </c>
      <c r="W236">
        <v>148769</v>
      </c>
      <c r="X236">
        <v>0.97873698200000003</v>
      </c>
      <c r="Y236">
        <v>1322.112093</v>
      </c>
      <c r="Z236">
        <f t="shared" si="11"/>
        <v>1.0143684909999999</v>
      </c>
      <c r="AA236">
        <f t="shared" si="12"/>
        <v>1275.6705393365773</v>
      </c>
      <c r="AB236" cm="1">
        <f t="array" ref="AB236">_xlfn.IFS(X236&lt;0.6,T236,0.9&lt;X236,T236,X236,AA236)</f>
        <v>1294</v>
      </c>
      <c r="AC236">
        <v>0.99255794399999997</v>
      </c>
      <c r="AD236">
        <v>1317.711487</v>
      </c>
      <c r="AE236">
        <v>1294</v>
      </c>
      <c r="AG236">
        <v>0</v>
      </c>
      <c r="AH236">
        <v>235</v>
      </c>
    </row>
    <row r="237" spans="1:34" x14ac:dyDescent="0.25">
      <c r="A237" t="s">
        <v>768</v>
      </c>
      <c r="B237" t="s">
        <v>1002</v>
      </c>
      <c r="D237" t="s">
        <v>770</v>
      </c>
      <c r="E237">
        <v>236</v>
      </c>
      <c r="H237">
        <v>5016</v>
      </c>
      <c r="I237">
        <v>3</v>
      </c>
      <c r="J237" t="s">
        <v>771</v>
      </c>
      <c r="K237">
        <v>100000</v>
      </c>
      <c r="L237" t="s">
        <v>26</v>
      </c>
      <c r="M237">
        <v>68</v>
      </c>
      <c r="N237">
        <v>516</v>
      </c>
      <c r="O237">
        <v>5</v>
      </c>
      <c r="P237">
        <v>16</v>
      </c>
      <c r="U237" s="1">
        <v>45497</v>
      </c>
      <c r="V237" s="1">
        <v>45534</v>
      </c>
      <c r="W237">
        <v>140570</v>
      </c>
      <c r="X237">
        <v>0.92480263200000001</v>
      </c>
      <c r="Z237">
        <f t="shared" ref="Z237:Z284" si="13">1-((0.95-X237)*0.5)</f>
        <v>0.98740131600000003</v>
      </c>
      <c r="AG237">
        <v>0</v>
      </c>
      <c r="AH237">
        <v>236</v>
      </c>
    </row>
    <row r="238" spans="1:34" x14ac:dyDescent="0.25">
      <c r="A238" t="s">
        <v>768</v>
      </c>
      <c r="B238" t="s">
        <v>1003</v>
      </c>
      <c r="D238" t="s">
        <v>770</v>
      </c>
      <c r="E238">
        <v>237</v>
      </c>
      <c r="H238">
        <v>4016</v>
      </c>
      <c r="I238">
        <v>3</v>
      </c>
      <c r="J238" t="s">
        <v>771</v>
      </c>
      <c r="K238">
        <v>100000</v>
      </c>
      <c r="L238" t="s">
        <v>74</v>
      </c>
      <c r="M238">
        <v>61</v>
      </c>
      <c r="N238">
        <v>416</v>
      </c>
      <c r="O238">
        <v>4</v>
      </c>
      <c r="P238">
        <v>16</v>
      </c>
      <c r="Q238">
        <v>30</v>
      </c>
      <c r="R238">
        <v>19.399999999999999</v>
      </c>
      <c r="S238">
        <v>1969</v>
      </c>
      <c r="T238">
        <v>2547</v>
      </c>
      <c r="U238" s="1">
        <v>45499</v>
      </c>
      <c r="V238" s="1">
        <v>45536</v>
      </c>
      <c r="W238">
        <v>147168</v>
      </c>
      <c r="X238">
        <v>0.96821052600000002</v>
      </c>
      <c r="Y238">
        <v>2630.6262230000002</v>
      </c>
      <c r="Z238">
        <f t="shared" si="13"/>
        <v>1.0091052629999999</v>
      </c>
      <c r="AA238">
        <f t="shared" ref="AA238:AA277" si="14">T238/Z238</f>
        <v>2524.0181509191079</v>
      </c>
      <c r="AB238" cm="1">
        <f t="array" ref="AB238">_xlfn.IFS(X238&lt;0.6,T238,0.9&lt;X238,T238,X238,AA238)</f>
        <v>2547</v>
      </c>
      <c r="AC238">
        <v>0.98887368399999998</v>
      </c>
      <c r="AD238">
        <v>2617.2582109999998</v>
      </c>
      <c r="AE238">
        <v>2547</v>
      </c>
      <c r="AG238">
        <v>0</v>
      </c>
      <c r="AH238">
        <v>237</v>
      </c>
    </row>
    <row r="239" spans="1:34" x14ac:dyDescent="0.25">
      <c r="A239" t="s">
        <v>768</v>
      </c>
      <c r="B239" t="s">
        <v>1004</v>
      </c>
      <c r="D239" t="s">
        <v>770</v>
      </c>
      <c r="E239">
        <v>238</v>
      </c>
      <c r="H239">
        <v>3016</v>
      </c>
      <c r="I239">
        <v>3</v>
      </c>
      <c r="J239" t="s">
        <v>771</v>
      </c>
      <c r="K239">
        <v>100000</v>
      </c>
      <c r="L239" t="s">
        <v>38</v>
      </c>
      <c r="M239">
        <v>63</v>
      </c>
      <c r="N239">
        <v>316</v>
      </c>
      <c r="O239">
        <v>3</v>
      </c>
      <c r="P239">
        <v>16</v>
      </c>
      <c r="Q239">
        <v>56</v>
      </c>
      <c r="R239">
        <v>17.899999999999999</v>
      </c>
      <c r="S239">
        <v>1310</v>
      </c>
      <c r="T239">
        <v>1726</v>
      </c>
      <c r="U239" s="1">
        <v>45499</v>
      </c>
      <c r="V239" s="1">
        <v>45534</v>
      </c>
      <c r="W239">
        <v>142226</v>
      </c>
      <c r="X239">
        <v>0.93569121300000002</v>
      </c>
      <c r="Y239">
        <v>1844.625638</v>
      </c>
      <c r="Z239">
        <f t="shared" si="13"/>
        <v>0.99284560649999998</v>
      </c>
      <c r="AA239">
        <f t="shared" si="14"/>
        <v>1738.4374657047949</v>
      </c>
      <c r="AB239" cm="1">
        <f t="array" ref="AB239">_xlfn.IFS(X239&lt;0.6,T239,0.9&lt;X239,T239,X239,AA239)</f>
        <v>1726</v>
      </c>
      <c r="AC239">
        <v>0.97749192500000004</v>
      </c>
      <c r="AD239">
        <v>1824.406162</v>
      </c>
      <c r="AE239">
        <v>1726</v>
      </c>
      <c r="AG239">
        <v>0</v>
      </c>
      <c r="AH239">
        <v>238</v>
      </c>
    </row>
    <row r="240" spans="1:34" x14ac:dyDescent="0.25">
      <c r="A240" t="s">
        <v>768</v>
      </c>
      <c r="B240" t="s">
        <v>1005</v>
      </c>
      <c r="D240" t="s">
        <v>770</v>
      </c>
      <c r="E240">
        <v>239</v>
      </c>
      <c r="H240">
        <v>2016</v>
      </c>
      <c r="I240">
        <v>3</v>
      </c>
      <c r="J240" t="s">
        <v>771</v>
      </c>
      <c r="K240">
        <v>100000</v>
      </c>
      <c r="L240" t="s">
        <v>34</v>
      </c>
      <c r="M240">
        <v>71</v>
      </c>
      <c r="N240">
        <v>216</v>
      </c>
      <c r="O240">
        <v>2</v>
      </c>
      <c r="P240">
        <v>16</v>
      </c>
      <c r="Q240">
        <v>56</v>
      </c>
      <c r="R240">
        <v>19.3</v>
      </c>
      <c r="S240">
        <v>361</v>
      </c>
      <c r="T240">
        <v>467</v>
      </c>
      <c r="U240" s="1">
        <v>45489</v>
      </c>
      <c r="V240" s="1">
        <v>45530</v>
      </c>
      <c r="W240">
        <v>147100</v>
      </c>
      <c r="X240">
        <v>0.96778225900000003</v>
      </c>
      <c r="Y240">
        <v>482.54656019999999</v>
      </c>
      <c r="Z240">
        <f t="shared" si="13"/>
        <v>1.0088911295</v>
      </c>
      <c r="AA240">
        <f t="shared" si="14"/>
        <v>462.88443454889153</v>
      </c>
      <c r="AB240" cm="1">
        <f t="array" ref="AB240">_xlfn.IFS(X240&lt;0.6,T240,0.9&lt;X240,T240,X240,AA240)</f>
        <v>467</v>
      </c>
      <c r="AC240">
        <v>0.98872379099999996</v>
      </c>
      <c r="AD240">
        <v>480.05925980000001</v>
      </c>
      <c r="AE240">
        <v>467</v>
      </c>
      <c r="AG240">
        <v>0</v>
      </c>
      <c r="AH240">
        <v>239</v>
      </c>
    </row>
    <row r="241" spans="1:34" x14ac:dyDescent="0.25">
      <c r="A241" t="s">
        <v>768</v>
      </c>
      <c r="B241" t="s">
        <v>1006</v>
      </c>
      <c r="D241" t="s">
        <v>770</v>
      </c>
      <c r="E241">
        <v>240</v>
      </c>
      <c r="H241">
        <v>1016</v>
      </c>
      <c r="I241">
        <v>3</v>
      </c>
      <c r="J241" t="s">
        <v>771</v>
      </c>
      <c r="K241">
        <v>100000</v>
      </c>
      <c r="L241" t="s">
        <v>80</v>
      </c>
      <c r="M241">
        <v>62</v>
      </c>
      <c r="N241">
        <v>116</v>
      </c>
      <c r="O241">
        <v>1</v>
      </c>
      <c r="P241">
        <v>16</v>
      </c>
      <c r="Q241">
        <v>59</v>
      </c>
      <c r="R241">
        <v>17.5</v>
      </c>
      <c r="S241">
        <v>1837</v>
      </c>
      <c r="T241">
        <v>2432</v>
      </c>
      <c r="U241" s="1">
        <v>45496</v>
      </c>
      <c r="V241" s="1">
        <v>45534</v>
      </c>
      <c r="W241">
        <v>149894</v>
      </c>
      <c r="X241">
        <v>0.98615771299999999</v>
      </c>
      <c r="Y241">
        <v>2466.1369770000001</v>
      </c>
      <c r="Z241">
        <f t="shared" si="13"/>
        <v>1.0180788565000001</v>
      </c>
      <c r="AA241">
        <f t="shared" si="14"/>
        <v>2388.8129926996476</v>
      </c>
      <c r="AB241" cm="1">
        <f t="array" ref="AB241">_xlfn.IFS(X241&lt;0.6,T241,0.9&lt;X241,T241,X241,AA241)</f>
        <v>2432</v>
      </c>
      <c r="AC241">
        <v>0.99515520000000002</v>
      </c>
      <c r="AD241">
        <v>2460.8719649999998</v>
      </c>
      <c r="AE241">
        <v>2432</v>
      </c>
      <c r="AG241">
        <v>0</v>
      </c>
      <c r="AH241">
        <v>240</v>
      </c>
    </row>
    <row r="242" spans="1:34" x14ac:dyDescent="0.25">
      <c r="A242" t="s">
        <v>768</v>
      </c>
      <c r="B242" t="s">
        <v>1007</v>
      </c>
      <c r="D242" t="s">
        <v>770</v>
      </c>
      <c r="E242">
        <v>241</v>
      </c>
      <c r="H242">
        <v>1017</v>
      </c>
      <c r="I242">
        <v>3</v>
      </c>
      <c r="J242" t="s">
        <v>771</v>
      </c>
      <c r="K242">
        <v>150000</v>
      </c>
      <c r="L242" t="s">
        <v>74</v>
      </c>
      <c r="M242">
        <v>76</v>
      </c>
      <c r="N242">
        <v>117</v>
      </c>
      <c r="O242">
        <v>1</v>
      </c>
      <c r="P242">
        <v>17</v>
      </c>
      <c r="Q242">
        <v>29</v>
      </c>
      <c r="R242">
        <v>17.8</v>
      </c>
      <c r="S242">
        <v>2002</v>
      </c>
      <c r="T242">
        <v>2641</v>
      </c>
      <c r="U242" s="1">
        <v>45491</v>
      </c>
      <c r="V242" s="1">
        <v>45536</v>
      </c>
      <c r="W242">
        <v>139791</v>
      </c>
      <c r="X242">
        <v>0.91967763199999997</v>
      </c>
      <c r="Y242">
        <v>2871.6584039999998</v>
      </c>
      <c r="Z242">
        <f t="shared" si="13"/>
        <v>0.98483881600000001</v>
      </c>
      <c r="AA242">
        <f t="shared" si="14"/>
        <v>2681.6570966674813</v>
      </c>
      <c r="AB242" cm="1">
        <f t="array" ref="AB242">_xlfn.IFS(X242&lt;0.6,T242,0.9&lt;X242,T242,X242,AA242)</f>
        <v>2641</v>
      </c>
      <c r="AC242">
        <v>0.97188717099999999</v>
      </c>
      <c r="AD242">
        <v>2831.0936959999999</v>
      </c>
      <c r="AE242">
        <v>2641</v>
      </c>
      <c r="AG242">
        <v>0</v>
      </c>
      <c r="AH242">
        <v>241</v>
      </c>
    </row>
    <row r="243" spans="1:34" x14ac:dyDescent="0.25">
      <c r="A243" t="s">
        <v>768</v>
      </c>
      <c r="B243" t="s">
        <v>1008</v>
      </c>
      <c r="D243" t="s">
        <v>770</v>
      </c>
      <c r="E243">
        <v>242</v>
      </c>
      <c r="H243">
        <v>2017</v>
      </c>
      <c r="I243">
        <v>3</v>
      </c>
      <c r="J243" t="s">
        <v>771</v>
      </c>
      <c r="K243">
        <v>150000</v>
      </c>
      <c r="L243" t="s">
        <v>58</v>
      </c>
      <c r="M243">
        <v>84</v>
      </c>
      <c r="N243">
        <v>217</v>
      </c>
      <c r="O243">
        <v>2</v>
      </c>
      <c r="P243">
        <v>17</v>
      </c>
      <c r="Q243">
        <v>63</v>
      </c>
      <c r="R243">
        <v>20.3</v>
      </c>
      <c r="S243">
        <v>364</v>
      </c>
      <c r="T243">
        <v>466</v>
      </c>
      <c r="U243" s="1">
        <v>45489</v>
      </c>
      <c r="V243" s="1">
        <v>45524</v>
      </c>
      <c r="W243">
        <v>151930</v>
      </c>
      <c r="X243">
        <v>0.999532898</v>
      </c>
      <c r="Y243">
        <v>466.21777129999998</v>
      </c>
      <c r="Z243">
        <f t="shared" si="13"/>
        <v>1.0247664489999999</v>
      </c>
      <c r="AA243">
        <f t="shared" si="14"/>
        <v>454.73776044750275</v>
      </c>
      <c r="AB243" cm="1">
        <f t="array" ref="AB243">_xlfn.IFS(X243&lt;0.6,T243,0.9&lt;X243,T243,X243,AA243)</f>
        <v>466</v>
      </c>
      <c r="AC243">
        <v>0.99983651399999995</v>
      </c>
      <c r="AD243">
        <v>466.1850748</v>
      </c>
      <c r="AE243">
        <v>466</v>
      </c>
      <c r="AG243">
        <v>0</v>
      </c>
      <c r="AH243">
        <v>242</v>
      </c>
    </row>
    <row r="244" spans="1:34" x14ac:dyDescent="0.25">
      <c r="A244" t="s">
        <v>768</v>
      </c>
      <c r="B244" t="s">
        <v>1009</v>
      </c>
      <c r="D244" t="s">
        <v>770</v>
      </c>
      <c r="E244">
        <v>243</v>
      </c>
      <c r="H244">
        <v>3017</v>
      </c>
      <c r="I244">
        <v>3</v>
      </c>
      <c r="J244" t="s">
        <v>771</v>
      </c>
      <c r="K244">
        <v>150000</v>
      </c>
      <c r="L244" t="s">
        <v>26</v>
      </c>
      <c r="M244">
        <v>83</v>
      </c>
      <c r="N244">
        <v>317</v>
      </c>
      <c r="O244">
        <v>3</v>
      </c>
      <c r="P244">
        <v>17</v>
      </c>
      <c r="Q244">
        <v>23</v>
      </c>
      <c r="R244">
        <v>15.9</v>
      </c>
      <c r="S244">
        <v>766</v>
      </c>
      <c r="T244">
        <v>1034</v>
      </c>
      <c r="U244" s="1">
        <v>45499</v>
      </c>
      <c r="V244" s="1">
        <v>45535</v>
      </c>
      <c r="W244">
        <v>149280</v>
      </c>
      <c r="X244">
        <v>0.98210526300000001</v>
      </c>
      <c r="Y244">
        <v>1052.8403000000001</v>
      </c>
      <c r="Z244">
        <f t="shared" si="13"/>
        <v>1.0160526315</v>
      </c>
      <c r="AA244">
        <f t="shared" si="14"/>
        <v>1017.6638177428902</v>
      </c>
      <c r="AB244" cm="1">
        <f t="array" ref="AB244">_xlfn.IFS(X244&lt;0.6,T244,0.9&lt;X244,T244,X244,AA244)</f>
        <v>1034</v>
      </c>
      <c r="AC244">
        <v>0.99373684200000001</v>
      </c>
      <c r="AD244">
        <v>1049.910862</v>
      </c>
      <c r="AE244">
        <v>1034</v>
      </c>
      <c r="AG244">
        <v>0</v>
      </c>
      <c r="AH244">
        <v>243</v>
      </c>
    </row>
    <row r="245" spans="1:34" x14ac:dyDescent="0.25">
      <c r="A245" t="s">
        <v>768</v>
      </c>
      <c r="B245" t="s">
        <v>1010</v>
      </c>
      <c r="D245" t="s">
        <v>770</v>
      </c>
      <c r="E245">
        <v>244</v>
      </c>
      <c r="H245">
        <v>4017</v>
      </c>
      <c r="I245">
        <v>3</v>
      </c>
      <c r="J245" t="s">
        <v>771</v>
      </c>
      <c r="K245">
        <v>150000</v>
      </c>
      <c r="L245" t="s">
        <v>42</v>
      </c>
      <c r="M245">
        <v>89</v>
      </c>
      <c r="N245">
        <v>417</v>
      </c>
      <c r="O245">
        <v>4</v>
      </c>
      <c r="P245">
        <v>17</v>
      </c>
      <c r="Q245">
        <v>41</v>
      </c>
      <c r="R245">
        <v>19.600000000000001</v>
      </c>
      <c r="S245">
        <v>1767</v>
      </c>
      <c r="T245">
        <v>2280</v>
      </c>
      <c r="U245" s="1">
        <v>45494</v>
      </c>
      <c r="V245" s="1">
        <v>45525</v>
      </c>
      <c r="W245">
        <v>144048</v>
      </c>
      <c r="X245">
        <v>0.94767797600000003</v>
      </c>
      <c r="Y245">
        <v>2405.8805400000001</v>
      </c>
      <c r="Z245">
        <f t="shared" si="13"/>
        <v>0.99883898800000004</v>
      </c>
      <c r="AA245">
        <f t="shared" si="14"/>
        <v>2282.6501842557232</v>
      </c>
      <c r="AB245" cm="1">
        <f t="array" ref="AB245">_xlfn.IFS(X245&lt;0.6,T245,0.9&lt;X245,T245,X245,AA245)</f>
        <v>2280</v>
      </c>
      <c r="AC245">
        <v>0.98168729200000004</v>
      </c>
      <c r="AD245">
        <v>2384.9238700000001</v>
      </c>
      <c r="AE245">
        <v>2280</v>
      </c>
      <c r="AG245">
        <v>0</v>
      </c>
      <c r="AH245">
        <v>244</v>
      </c>
    </row>
    <row r="246" spans="1:34" x14ac:dyDescent="0.25">
      <c r="A246" t="s">
        <v>768</v>
      </c>
      <c r="B246" t="s">
        <v>1011</v>
      </c>
      <c r="D246" t="s">
        <v>770</v>
      </c>
      <c r="E246">
        <v>245</v>
      </c>
      <c r="H246">
        <v>5017</v>
      </c>
      <c r="I246">
        <v>3</v>
      </c>
      <c r="J246" t="s">
        <v>771</v>
      </c>
      <c r="K246">
        <v>150000</v>
      </c>
      <c r="L246" t="s">
        <v>46</v>
      </c>
      <c r="M246">
        <v>80</v>
      </c>
      <c r="N246">
        <v>517</v>
      </c>
      <c r="O246">
        <v>5</v>
      </c>
      <c r="P246">
        <v>17</v>
      </c>
      <c r="Q246">
        <v>48</v>
      </c>
      <c r="R246">
        <v>17.899999999999999</v>
      </c>
      <c r="S246">
        <v>1973</v>
      </c>
      <c r="T246">
        <v>2599</v>
      </c>
      <c r="U246" s="1">
        <v>45494</v>
      </c>
      <c r="V246" s="1">
        <v>45527</v>
      </c>
      <c r="W246">
        <v>151532</v>
      </c>
      <c r="X246">
        <v>0.99690793499999997</v>
      </c>
      <c r="Y246">
        <v>2607.0612019999999</v>
      </c>
      <c r="Z246">
        <f t="shared" si="13"/>
        <v>1.0234539675000001</v>
      </c>
      <c r="AA246">
        <f t="shared" si="14"/>
        <v>2539.44005547079</v>
      </c>
      <c r="AB246" cm="1">
        <f t="array" ref="AB246">_xlfn.IFS(X246&lt;0.6,T246,0.9&lt;X246,T246,X246,AA246)</f>
        <v>2599</v>
      </c>
      <c r="AC246">
        <v>0.99891777699999995</v>
      </c>
      <c r="AD246">
        <v>2605.8444639999998</v>
      </c>
      <c r="AE246">
        <v>2599</v>
      </c>
      <c r="AG246">
        <v>0</v>
      </c>
      <c r="AH246">
        <v>245</v>
      </c>
    </row>
    <row r="247" spans="1:34" x14ac:dyDescent="0.25">
      <c r="A247" t="s">
        <v>768</v>
      </c>
      <c r="B247" t="s">
        <v>1012</v>
      </c>
      <c r="D247" t="s">
        <v>770</v>
      </c>
      <c r="E247">
        <v>246</v>
      </c>
      <c r="H247">
        <v>6017</v>
      </c>
      <c r="I247">
        <v>3</v>
      </c>
      <c r="J247" t="s">
        <v>771</v>
      </c>
      <c r="K247">
        <v>150000</v>
      </c>
      <c r="L247" t="s">
        <v>80</v>
      </c>
      <c r="M247">
        <v>77</v>
      </c>
      <c r="N247">
        <v>617</v>
      </c>
      <c r="O247">
        <v>6</v>
      </c>
      <c r="P247">
        <v>17</v>
      </c>
      <c r="Q247">
        <v>24</v>
      </c>
      <c r="R247">
        <v>17.899999999999999</v>
      </c>
      <c r="S247">
        <v>2120</v>
      </c>
      <c r="T247">
        <v>2793</v>
      </c>
      <c r="U247" s="1">
        <v>45496</v>
      </c>
      <c r="V247" s="1">
        <v>45534</v>
      </c>
      <c r="W247">
        <v>151753</v>
      </c>
      <c r="X247">
        <v>0.99838813699999995</v>
      </c>
      <c r="Y247">
        <v>2797.5092020000002</v>
      </c>
      <c r="Z247">
        <f t="shared" si="13"/>
        <v>1.0241940684999999</v>
      </c>
      <c r="AA247">
        <f t="shared" si="14"/>
        <v>2727.0222371923455</v>
      </c>
      <c r="AB247" cm="1">
        <f t="array" ref="AB247">_xlfn.IFS(X247&lt;0.6,T247,0.9&lt;X247,T247,X247,AA247)</f>
        <v>2793</v>
      </c>
      <c r="AC247">
        <v>0.99943584799999996</v>
      </c>
      <c r="AD247">
        <v>2796.8306200000002</v>
      </c>
      <c r="AE247">
        <v>2793</v>
      </c>
      <c r="AG247">
        <v>0</v>
      </c>
      <c r="AH247">
        <v>246</v>
      </c>
    </row>
    <row r="248" spans="1:34" x14ac:dyDescent="0.25">
      <c r="A248" t="s">
        <v>768</v>
      </c>
      <c r="B248" t="s">
        <v>1013</v>
      </c>
      <c r="D248" t="s">
        <v>770</v>
      </c>
      <c r="E248">
        <v>247</v>
      </c>
      <c r="H248">
        <v>7017</v>
      </c>
      <c r="I248">
        <v>3</v>
      </c>
      <c r="J248" t="s">
        <v>771</v>
      </c>
      <c r="K248">
        <v>150000</v>
      </c>
      <c r="L248" t="s">
        <v>70</v>
      </c>
      <c r="M248">
        <v>82</v>
      </c>
      <c r="N248">
        <v>717</v>
      </c>
      <c r="O248">
        <v>7</v>
      </c>
      <c r="P248">
        <v>17</v>
      </c>
      <c r="Q248">
        <v>41</v>
      </c>
      <c r="R248">
        <v>17.7</v>
      </c>
      <c r="S248">
        <v>1483</v>
      </c>
      <c r="T248">
        <v>1958</v>
      </c>
      <c r="U248" s="1">
        <v>45496</v>
      </c>
      <c r="V248" s="1">
        <v>45536</v>
      </c>
      <c r="W248">
        <v>147383</v>
      </c>
      <c r="X248">
        <v>0.96962499999999996</v>
      </c>
      <c r="Y248">
        <v>2019.3373730000001</v>
      </c>
      <c r="Z248">
        <f t="shared" si="13"/>
        <v>1.0098125</v>
      </c>
      <c r="AA248">
        <f t="shared" si="14"/>
        <v>1938.9738193971652</v>
      </c>
      <c r="AB248" cm="1">
        <f t="array" ref="AB248">_xlfn.IFS(X248&lt;0.6,T248,0.9&lt;X248,T248,X248,AA248)</f>
        <v>1958</v>
      </c>
      <c r="AC248">
        <v>0.98936875000000002</v>
      </c>
      <c r="AD248">
        <v>2009.5598560000001</v>
      </c>
      <c r="AE248">
        <v>1958</v>
      </c>
      <c r="AG248">
        <v>0</v>
      </c>
      <c r="AH248">
        <v>247</v>
      </c>
    </row>
    <row r="249" spans="1:34" x14ac:dyDescent="0.25">
      <c r="A249" t="s">
        <v>768</v>
      </c>
      <c r="B249" t="s">
        <v>1014</v>
      </c>
      <c r="D249" t="s">
        <v>770</v>
      </c>
      <c r="E249">
        <v>248</v>
      </c>
      <c r="H249">
        <v>8017</v>
      </c>
      <c r="I249">
        <v>3</v>
      </c>
      <c r="J249" t="s">
        <v>771</v>
      </c>
      <c r="K249">
        <v>150000</v>
      </c>
      <c r="L249" t="s">
        <v>50</v>
      </c>
      <c r="M249">
        <v>79</v>
      </c>
      <c r="N249">
        <v>817</v>
      </c>
      <c r="O249">
        <v>8</v>
      </c>
      <c r="P249">
        <v>17</v>
      </c>
      <c r="Q249">
        <v>94</v>
      </c>
      <c r="R249">
        <v>22.7</v>
      </c>
      <c r="S249">
        <v>980</v>
      </c>
      <c r="T249">
        <v>1216</v>
      </c>
      <c r="U249" s="1">
        <v>45497</v>
      </c>
      <c r="W249">
        <v>134199</v>
      </c>
      <c r="X249">
        <v>0.88289977500000005</v>
      </c>
      <c r="Y249">
        <v>1377.279771</v>
      </c>
      <c r="Z249">
        <f t="shared" si="13"/>
        <v>0.96644988750000005</v>
      </c>
      <c r="AA249">
        <f t="shared" si="14"/>
        <v>1258.213194214894</v>
      </c>
      <c r="AB249" cm="1">
        <f t="array" ref="AB249">_xlfn.IFS(X249&lt;0.6,T249,0.9&lt;X249,T249,X249,AA249)</f>
        <v>1258.213194214894</v>
      </c>
      <c r="AC249">
        <v>0.95901492099999996</v>
      </c>
      <c r="AD249">
        <v>1346.824484</v>
      </c>
      <c r="AE249">
        <v>1346.824484</v>
      </c>
      <c r="AG249">
        <v>0</v>
      </c>
      <c r="AH249">
        <v>248</v>
      </c>
    </row>
    <row r="250" spans="1:34" x14ac:dyDescent="0.25">
      <c r="A250" t="s">
        <v>768</v>
      </c>
      <c r="B250" t="s">
        <v>1015</v>
      </c>
      <c r="D250" t="s">
        <v>770</v>
      </c>
      <c r="E250">
        <v>249</v>
      </c>
      <c r="H250">
        <v>9017</v>
      </c>
      <c r="I250">
        <v>3</v>
      </c>
      <c r="J250" t="s">
        <v>771</v>
      </c>
      <c r="K250">
        <v>150000</v>
      </c>
      <c r="L250" t="s">
        <v>66</v>
      </c>
      <c r="M250">
        <v>87</v>
      </c>
      <c r="N250">
        <v>917</v>
      </c>
      <c r="O250">
        <v>9</v>
      </c>
      <c r="P250">
        <v>17</v>
      </c>
      <c r="Q250">
        <v>66</v>
      </c>
      <c r="R250">
        <v>19.8</v>
      </c>
      <c r="S250">
        <v>984</v>
      </c>
      <c r="T250">
        <v>1266</v>
      </c>
      <c r="U250" s="1">
        <v>45495</v>
      </c>
      <c r="W250">
        <v>151808</v>
      </c>
      <c r="X250">
        <v>0.99873027199999997</v>
      </c>
      <c r="Y250">
        <v>1267.60952</v>
      </c>
      <c r="Z250">
        <f t="shared" si="13"/>
        <v>1.0243651360000001</v>
      </c>
      <c r="AA250">
        <f t="shared" si="14"/>
        <v>1235.8874345758677</v>
      </c>
      <c r="AB250" cm="1">
        <f t="array" ref="AB250">_xlfn.IFS(X250&lt;0.6,T250,0.9&lt;X250,T250,X250,AA250)</f>
        <v>1266</v>
      </c>
      <c r="AC250">
        <v>0.99955559500000002</v>
      </c>
      <c r="AD250">
        <v>1267.3674719999999</v>
      </c>
      <c r="AE250">
        <v>1266</v>
      </c>
      <c r="AG250">
        <v>0</v>
      </c>
      <c r="AH250">
        <v>249</v>
      </c>
    </row>
    <row r="251" spans="1:34" x14ac:dyDescent="0.25">
      <c r="A251" t="s">
        <v>768</v>
      </c>
      <c r="B251" t="s">
        <v>1016</v>
      </c>
      <c r="D251" t="s">
        <v>770</v>
      </c>
      <c r="E251">
        <v>250</v>
      </c>
      <c r="H251">
        <v>10017</v>
      </c>
      <c r="I251">
        <v>3</v>
      </c>
      <c r="J251" t="s">
        <v>771</v>
      </c>
      <c r="K251">
        <v>150000</v>
      </c>
      <c r="L251" t="s">
        <v>34</v>
      </c>
      <c r="M251">
        <v>86</v>
      </c>
      <c r="N251">
        <v>1017</v>
      </c>
      <c r="O251">
        <v>10</v>
      </c>
      <c r="P251">
        <v>17</v>
      </c>
      <c r="Q251">
        <v>65</v>
      </c>
      <c r="R251">
        <v>20.5</v>
      </c>
      <c r="S251">
        <v>775</v>
      </c>
      <c r="T251">
        <v>989</v>
      </c>
      <c r="U251" s="1">
        <v>45491</v>
      </c>
      <c r="V251" s="1">
        <v>45530</v>
      </c>
      <c r="W251">
        <v>142072</v>
      </c>
      <c r="X251">
        <v>0.93468421099999999</v>
      </c>
      <c r="Y251">
        <v>1058.1113800000001</v>
      </c>
      <c r="Z251">
        <f t="shared" si="13"/>
        <v>0.99234210550000002</v>
      </c>
      <c r="AA251">
        <f t="shared" si="14"/>
        <v>996.63210350394627</v>
      </c>
      <c r="AB251" cm="1">
        <f t="array" ref="AB251">_xlfn.IFS(X251&lt;0.6,T251,0.9&lt;X251,T251,X251,AA251)</f>
        <v>989</v>
      </c>
      <c r="AC251">
        <v>0.97713947400000001</v>
      </c>
      <c r="AD251">
        <v>1046.3082320000001</v>
      </c>
      <c r="AE251">
        <v>989</v>
      </c>
      <c r="AG251">
        <v>0</v>
      </c>
      <c r="AH251">
        <v>250</v>
      </c>
    </row>
    <row r="252" spans="1:34" x14ac:dyDescent="0.25">
      <c r="A252" t="s">
        <v>768</v>
      </c>
      <c r="B252" t="s">
        <v>1017</v>
      </c>
      <c r="D252" t="s">
        <v>770</v>
      </c>
      <c r="E252">
        <v>251</v>
      </c>
      <c r="H252">
        <v>11017</v>
      </c>
      <c r="I252">
        <v>3</v>
      </c>
      <c r="J252" t="s">
        <v>771</v>
      </c>
      <c r="K252">
        <v>150000</v>
      </c>
      <c r="L252" t="s">
        <v>38</v>
      </c>
      <c r="M252">
        <v>78</v>
      </c>
      <c r="N252">
        <v>1117</v>
      </c>
      <c r="O252">
        <v>11</v>
      </c>
      <c r="P252">
        <v>17</v>
      </c>
      <c r="Q252">
        <v>41</v>
      </c>
      <c r="R252">
        <v>19.100000000000001</v>
      </c>
      <c r="S252">
        <v>2508</v>
      </c>
      <c r="T252">
        <v>3256</v>
      </c>
      <c r="U252" s="1">
        <v>45496</v>
      </c>
      <c r="V252" s="1">
        <v>45534</v>
      </c>
      <c r="W252">
        <v>144834</v>
      </c>
      <c r="X252">
        <v>0.95286153200000001</v>
      </c>
      <c r="Y252">
        <v>3417.0757140000001</v>
      </c>
      <c r="Z252">
        <f t="shared" si="13"/>
        <v>1.0014307659999999</v>
      </c>
      <c r="AA252">
        <f t="shared" si="14"/>
        <v>3251.3480817105237</v>
      </c>
      <c r="AB252" cm="1">
        <f t="array" ref="AB252">_xlfn.IFS(X252&lt;0.6,T252,0.9&lt;X252,T252,X252,AA252)</f>
        <v>3256</v>
      </c>
      <c r="AC252">
        <v>0.98350153600000001</v>
      </c>
      <c r="AD252">
        <v>3390.5323979999998</v>
      </c>
      <c r="AE252">
        <v>3256</v>
      </c>
      <c r="AG252">
        <v>0</v>
      </c>
      <c r="AH252">
        <v>251</v>
      </c>
    </row>
    <row r="253" spans="1:34" x14ac:dyDescent="0.25">
      <c r="A253" t="s">
        <v>768</v>
      </c>
      <c r="B253" t="s">
        <v>1018</v>
      </c>
      <c r="D253" t="s">
        <v>770</v>
      </c>
      <c r="E253">
        <v>252</v>
      </c>
      <c r="H253">
        <v>12017</v>
      </c>
      <c r="I253">
        <v>3</v>
      </c>
      <c r="J253" t="s">
        <v>771</v>
      </c>
      <c r="K253">
        <v>150000</v>
      </c>
      <c r="L253" t="s">
        <v>78</v>
      </c>
      <c r="M253">
        <v>81</v>
      </c>
      <c r="N253">
        <v>1217</v>
      </c>
      <c r="O253">
        <v>12</v>
      </c>
      <c r="P253">
        <v>17</v>
      </c>
      <c r="Q253">
        <v>50</v>
      </c>
      <c r="R253">
        <v>17.8</v>
      </c>
      <c r="S253">
        <v>472</v>
      </c>
      <c r="T253">
        <v>623</v>
      </c>
      <c r="U253" s="1">
        <v>45490</v>
      </c>
      <c r="V253" s="1">
        <v>45524</v>
      </c>
      <c r="W253">
        <v>149308</v>
      </c>
      <c r="X253">
        <v>0.98230239900000005</v>
      </c>
      <c r="Y253">
        <v>634.22424790000002</v>
      </c>
      <c r="Z253">
        <f t="shared" si="13"/>
        <v>1.0161511995000001</v>
      </c>
      <c r="AA253">
        <f t="shared" si="14"/>
        <v>613.09773615043594</v>
      </c>
      <c r="AB253" cm="1">
        <f t="array" ref="AB253">_xlfn.IFS(X253&lt;0.6,T253,0.9&lt;X253,T253,X253,AA253)</f>
        <v>623</v>
      </c>
      <c r="AC253">
        <v>0.99380584000000005</v>
      </c>
      <c r="AD253">
        <v>632.4797006</v>
      </c>
      <c r="AE253">
        <v>623</v>
      </c>
      <c r="AG253">
        <v>0</v>
      </c>
      <c r="AH253">
        <v>252</v>
      </c>
    </row>
    <row r="254" spans="1:34" x14ac:dyDescent="0.25">
      <c r="A254" t="s">
        <v>768</v>
      </c>
      <c r="B254" t="s">
        <v>1019</v>
      </c>
      <c r="D254" t="s">
        <v>770</v>
      </c>
      <c r="E254">
        <v>253</v>
      </c>
      <c r="H254">
        <v>13017</v>
      </c>
      <c r="I254">
        <v>3</v>
      </c>
      <c r="J254" t="s">
        <v>771</v>
      </c>
      <c r="K254">
        <v>150000</v>
      </c>
      <c r="L254" t="s">
        <v>54</v>
      </c>
      <c r="M254">
        <v>85</v>
      </c>
      <c r="N254">
        <v>1317</v>
      </c>
      <c r="O254">
        <v>13</v>
      </c>
      <c r="P254">
        <v>17</v>
      </c>
      <c r="Q254">
        <v>63</v>
      </c>
      <c r="R254">
        <v>19.7</v>
      </c>
      <c r="S254">
        <v>670</v>
      </c>
      <c r="T254">
        <v>863</v>
      </c>
      <c r="U254" s="1">
        <v>45491</v>
      </c>
      <c r="V254" s="1">
        <v>45527</v>
      </c>
      <c r="W254">
        <v>151348</v>
      </c>
      <c r="X254">
        <v>0.99572362800000003</v>
      </c>
      <c r="Y254">
        <v>866.70635890000005</v>
      </c>
      <c r="Z254">
        <f t="shared" si="13"/>
        <v>1.0228618140000001</v>
      </c>
      <c r="AA254">
        <f t="shared" si="14"/>
        <v>843.71123077237087</v>
      </c>
      <c r="AB254" cm="1">
        <f t="array" ref="AB254">_xlfn.IFS(X254&lt;0.6,T254,0.9&lt;X254,T254,X254,AA254)</f>
        <v>863</v>
      </c>
      <c r="AC254">
        <v>0.99850327000000005</v>
      </c>
      <c r="AD254">
        <v>866.14559480000003</v>
      </c>
      <c r="AE254">
        <v>863</v>
      </c>
      <c r="AG254">
        <v>0</v>
      </c>
      <c r="AH254">
        <v>253</v>
      </c>
    </row>
    <row r="255" spans="1:34" x14ac:dyDescent="0.25">
      <c r="A255" t="s">
        <v>768</v>
      </c>
      <c r="B255" t="s">
        <v>1020</v>
      </c>
      <c r="D255" t="s">
        <v>770</v>
      </c>
      <c r="E255">
        <v>254</v>
      </c>
      <c r="H255">
        <v>14017</v>
      </c>
      <c r="I255">
        <v>3</v>
      </c>
      <c r="J255" t="s">
        <v>771</v>
      </c>
      <c r="K255">
        <v>150000</v>
      </c>
      <c r="L255" t="s">
        <v>62</v>
      </c>
      <c r="M255">
        <v>88</v>
      </c>
      <c r="N255">
        <v>1417</v>
      </c>
      <c r="O255">
        <v>14</v>
      </c>
      <c r="P255">
        <v>17</v>
      </c>
      <c r="Q255">
        <v>38</v>
      </c>
      <c r="R255">
        <v>18.5</v>
      </c>
      <c r="S255">
        <v>2109</v>
      </c>
      <c r="T255">
        <v>2758</v>
      </c>
      <c r="U255" s="1">
        <v>45497</v>
      </c>
      <c r="V255" s="1">
        <v>45534</v>
      </c>
      <c r="W255">
        <v>151808</v>
      </c>
      <c r="X255">
        <v>0.99872370099999996</v>
      </c>
      <c r="Y255">
        <v>2761.524531</v>
      </c>
      <c r="Z255">
        <f t="shared" si="13"/>
        <v>1.0243618505000001</v>
      </c>
      <c r="AA255">
        <f t="shared" si="14"/>
        <v>2692.4079597983819</v>
      </c>
      <c r="AB255" cm="1">
        <f t="array" ref="AB255">_xlfn.IFS(X255&lt;0.6,T255,0.9&lt;X255,T255,X255,AA255)</f>
        <v>2758</v>
      </c>
      <c r="AC255">
        <v>0.99955329500000001</v>
      </c>
      <c r="AD255">
        <v>2760.9944890000002</v>
      </c>
      <c r="AE255">
        <v>2758</v>
      </c>
      <c r="AG255">
        <v>0</v>
      </c>
      <c r="AH255">
        <v>254</v>
      </c>
    </row>
    <row r="256" spans="1:34" x14ac:dyDescent="0.25">
      <c r="A256" t="s">
        <v>768</v>
      </c>
      <c r="B256" t="s">
        <v>1021</v>
      </c>
      <c r="D256" t="s">
        <v>770</v>
      </c>
      <c r="E256">
        <v>255</v>
      </c>
      <c r="H256">
        <v>15017</v>
      </c>
      <c r="I256">
        <v>3</v>
      </c>
      <c r="J256" t="s">
        <v>771</v>
      </c>
      <c r="K256">
        <v>150000</v>
      </c>
      <c r="L256" t="s">
        <v>30</v>
      </c>
      <c r="M256">
        <v>90</v>
      </c>
      <c r="N256">
        <v>1517</v>
      </c>
      <c r="O256">
        <v>15</v>
      </c>
      <c r="P256">
        <v>17</v>
      </c>
      <c r="Q256">
        <v>27</v>
      </c>
      <c r="R256">
        <v>20.7</v>
      </c>
      <c r="S256">
        <v>1306</v>
      </c>
      <c r="T256">
        <v>1662</v>
      </c>
      <c r="U256" s="1">
        <v>45497</v>
      </c>
      <c r="V256" s="1">
        <v>45532</v>
      </c>
      <c r="W256">
        <v>129347</v>
      </c>
      <c r="X256">
        <v>0.85097830200000002</v>
      </c>
      <c r="Y256">
        <v>1953.0462709999999</v>
      </c>
      <c r="Z256">
        <f t="shared" si="13"/>
        <v>0.95048915099999998</v>
      </c>
      <c r="AA256">
        <f t="shared" si="14"/>
        <v>1748.5733511544311</v>
      </c>
      <c r="AB256" cm="1">
        <f t="array" ref="AB256">_xlfn.IFS(X256&lt;0.6,T256,0.9&lt;X256,T256,X256,AA256)</f>
        <v>1748.5733511544311</v>
      </c>
      <c r="AC256">
        <v>0.94784240600000003</v>
      </c>
      <c r="AD256">
        <v>1894.6262610000001</v>
      </c>
      <c r="AE256">
        <v>1894.6262610000001</v>
      </c>
      <c r="AG256">
        <v>0</v>
      </c>
      <c r="AH256">
        <v>255</v>
      </c>
    </row>
    <row r="257" spans="1:34" x14ac:dyDescent="0.25">
      <c r="A257" t="s">
        <v>768</v>
      </c>
      <c r="B257" t="s">
        <v>1022</v>
      </c>
      <c r="D257" t="s">
        <v>770</v>
      </c>
      <c r="E257">
        <v>256</v>
      </c>
      <c r="H257">
        <v>15018</v>
      </c>
      <c r="I257">
        <v>3</v>
      </c>
      <c r="J257" t="s">
        <v>771</v>
      </c>
      <c r="K257">
        <v>75000</v>
      </c>
      <c r="L257" t="s">
        <v>26</v>
      </c>
      <c r="M257">
        <v>53</v>
      </c>
      <c r="N257">
        <v>1518</v>
      </c>
      <c r="O257">
        <v>15</v>
      </c>
      <c r="P257">
        <v>18</v>
      </c>
      <c r="Q257">
        <v>33</v>
      </c>
      <c r="R257">
        <v>18.8</v>
      </c>
      <c r="S257">
        <v>1362</v>
      </c>
      <c r="T257">
        <v>1775</v>
      </c>
      <c r="U257" s="1">
        <v>45498</v>
      </c>
      <c r="V257" s="1">
        <v>45534</v>
      </c>
      <c r="W257">
        <v>143341</v>
      </c>
      <c r="X257">
        <v>0.94302669100000003</v>
      </c>
      <c r="Y257">
        <v>1882.2372869999999</v>
      </c>
      <c r="Z257">
        <f t="shared" si="13"/>
        <v>0.99651334550000004</v>
      </c>
      <c r="AA257">
        <f t="shared" si="14"/>
        <v>1781.21046548493</v>
      </c>
      <c r="AB257" cm="1">
        <f t="array" ref="AB257">_xlfn.IFS(X257&lt;0.6,T257,0.9&lt;X257,T257,X257,AA257)</f>
        <v>1775</v>
      </c>
      <c r="AC257">
        <v>0.980059342</v>
      </c>
      <c r="AD257">
        <v>1864.220219</v>
      </c>
      <c r="AE257">
        <v>1775</v>
      </c>
      <c r="AG257">
        <v>0</v>
      </c>
      <c r="AH257">
        <v>256</v>
      </c>
    </row>
    <row r="258" spans="1:34" x14ac:dyDescent="0.25">
      <c r="A258" t="s">
        <v>768</v>
      </c>
      <c r="B258" t="s">
        <v>1023</v>
      </c>
      <c r="D258" t="s">
        <v>770</v>
      </c>
      <c r="E258">
        <v>257</v>
      </c>
      <c r="H258">
        <v>14018</v>
      </c>
      <c r="I258">
        <v>3</v>
      </c>
      <c r="J258" t="s">
        <v>771</v>
      </c>
      <c r="K258">
        <v>75000</v>
      </c>
      <c r="L258" t="s">
        <v>80</v>
      </c>
      <c r="M258">
        <v>47</v>
      </c>
      <c r="N258">
        <v>1418</v>
      </c>
      <c r="O258">
        <v>14</v>
      </c>
      <c r="P258">
        <v>18</v>
      </c>
      <c r="Q258">
        <v>27</v>
      </c>
      <c r="R258">
        <v>17.5</v>
      </c>
      <c r="S258">
        <v>2069</v>
      </c>
      <c r="T258">
        <v>2739</v>
      </c>
      <c r="U258" s="1">
        <v>45496</v>
      </c>
      <c r="V258" s="1">
        <v>45534</v>
      </c>
      <c r="W258">
        <v>150056</v>
      </c>
      <c r="X258">
        <v>0.98720403199999995</v>
      </c>
      <c r="Y258">
        <v>2774.502446</v>
      </c>
      <c r="Z258">
        <f t="shared" si="13"/>
        <v>1.018602016</v>
      </c>
      <c r="AA258">
        <f t="shared" si="14"/>
        <v>2688.9795592157948</v>
      </c>
      <c r="AB258" cm="1">
        <f t="array" ref="AB258">_xlfn.IFS(X258&lt;0.6,T258,0.9&lt;X258,T258,X258,AA258)</f>
        <v>2739</v>
      </c>
      <c r="AC258">
        <v>0.99552141100000002</v>
      </c>
      <c r="AD258">
        <v>2769.0383029999998</v>
      </c>
      <c r="AE258">
        <v>2739</v>
      </c>
      <c r="AG258">
        <v>0</v>
      </c>
      <c r="AH258">
        <v>257</v>
      </c>
    </row>
    <row r="259" spans="1:34" x14ac:dyDescent="0.25">
      <c r="A259" t="s">
        <v>768</v>
      </c>
      <c r="B259" t="s">
        <v>1024</v>
      </c>
      <c r="D259" t="s">
        <v>770</v>
      </c>
      <c r="E259">
        <v>258</v>
      </c>
      <c r="H259">
        <v>13018</v>
      </c>
      <c r="I259">
        <v>3</v>
      </c>
      <c r="J259" t="s">
        <v>771</v>
      </c>
      <c r="K259">
        <v>75000</v>
      </c>
      <c r="L259" t="s">
        <v>78</v>
      </c>
      <c r="M259">
        <v>51</v>
      </c>
      <c r="N259">
        <v>1318</v>
      </c>
      <c r="O259">
        <v>13</v>
      </c>
      <c r="P259">
        <v>18</v>
      </c>
      <c r="Q259">
        <v>58</v>
      </c>
      <c r="R259">
        <v>20.100000000000001</v>
      </c>
      <c r="S259">
        <v>617</v>
      </c>
      <c r="T259">
        <v>791</v>
      </c>
      <c r="U259" s="1">
        <v>45491</v>
      </c>
      <c r="V259" s="1">
        <v>45527</v>
      </c>
      <c r="W259">
        <v>142530</v>
      </c>
      <c r="X259">
        <v>0.93769119899999998</v>
      </c>
      <c r="Y259">
        <v>843.56129239999996</v>
      </c>
      <c r="Z259">
        <f t="shared" si="13"/>
        <v>0.99384559949999995</v>
      </c>
      <c r="AA259">
        <f t="shared" si="14"/>
        <v>795.89827675239405</v>
      </c>
      <c r="AB259" cm="1">
        <f t="array" ref="AB259">_xlfn.IFS(X259&lt;0.6,T259,0.9&lt;X259,T259,X259,AA259)</f>
        <v>791</v>
      </c>
      <c r="AC259">
        <v>0.97819191999999999</v>
      </c>
      <c r="AD259">
        <v>834.63739989999999</v>
      </c>
      <c r="AE259">
        <v>791</v>
      </c>
      <c r="AG259">
        <v>0</v>
      </c>
      <c r="AH259">
        <v>258</v>
      </c>
    </row>
    <row r="260" spans="1:34" x14ac:dyDescent="0.25">
      <c r="A260" t="s">
        <v>768</v>
      </c>
      <c r="B260" t="s">
        <v>1025</v>
      </c>
      <c r="D260" t="s">
        <v>770</v>
      </c>
      <c r="E260">
        <v>259</v>
      </c>
      <c r="H260">
        <v>12018</v>
      </c>
      <c r="I260">
        <v>3</v>
      </c>
      <c r="J260" t="s">
        <v>771</v>
      </c>
      <c r="K260">
        <v>75000</v>
      </c>
      <c r="L260" t="s">
        <v>66</v>
      </c>
      <c r="M260">
        <v>57</v>
      </c>
      <c r="N260">
        <v>1218</v>
      </c>
      <c r="O260">
        <v>12</v>
      </c>
      <c r="P260">
        <v>18</v>
      </c>
      <c r="Q260">
        <v>71</v>
      </c>
      <c r="R260">
        <v>21.6</v>
      </c>
      <c r="S260">
        <v>714</v>
      </c>
      <c r="T260">
        <v>898</v>
      </c>
      <c r="U260" s="1">
        <v>45494</v>
      </c>
      <c r="V260" s="1">
        <v>45537</v>
      </c>
      <c r="W260">
        <v>148970</v>
      </c>
      <c r="X260">
        <v>0.980059342</v>
      </c>
      <c r="Y260">
        <v>916.27104789999999</v>
      </c>
      <c r="Z260">
        <f t="shared" si="13"/>
        <v>1.015029671</v>
      </c>
      <c r="AA260">
        <f t="shared" si="14"/>
        <v>884.70320194216276</v>
      </c>
      <c r="AB260" cm="1">
        <f t="array" ref="AB260">_xlfn.IFS(X260&lt;0.6,T260,0.9&lt;X260,T260,X260,AA260)</f>
        <v>898</v>
      </c>
      <c r="AC260">
        <v>0.99302077</v>
      </c>
      <c r="AD260">
        <v>913.41848019999998</v>
      </c>
      <c r="AE260">
        <v>898</v>
      </c>
      <c r="AG260">
        <v>0</v>
      </c>
      <c r="AH260">
        <v>259</v>
      </c>
    </row>
    <row r="261" spans="1:34" x14ac:dyDescent="0.25">
      <c r="A261" t="s">
        <v>768</v>
      </c>
      <c r="B261" t="s">
        <v>1026</v>
      </c>
      <c r="D261" t="s">
        <v>770</v>
      </c>
      <c r="E261">
        <v>260</v>
      </c>
      <c r="H261">
        <v>11018</v>
      </c>
      <c r="I261">
        <v>3</v>
      </c>
      <c r="J261" t="s">
        <v>771</v>
      </c>
      <c r="K261">
        <v>75000</v>
      </c>
      <c r="L261" t="s">
        <v>70</v>
      </c>
      <c r="M261">
        <v>52</v>
      </c>
      <c r="N261">
        <v>1118</v>
      </c>
      <c r="O261">
        <v>11</v>
      </c>
      <c r="P261">
        <v>18</v>
      </c>
      <c r="Q261">
        <v>41</v>
      </c>
      <c r="R261">
        <v>19</v>
      </c>
      <c r="S261">
        <v>1258</v>
      </c>
      <c r="T261">
        <v>1635</v>
      </c>
      <c r="U261" s="1">
        <v>45497</v>
      </c>
      <c r="V261" s="1">
        <v>45534</v>
      </c>
      <c r="W261">
        <v>105908</v>
      </c>
      <c r="X261">
        <v>0.69676315799999999</v>
      </c>
      <c r="Y261">
        <v>2346.5649429999999</v>
      </c>
      <c r="Z261">
        <f t="shared" si="13"/>
        <v>0.87338157900000002</v>
      </c>
      <c r="AA261">
        <f t="shared" si="14"/>
        <v>1872.0339875636419</v>
      </c>
      <c r="AB261" cm="1">
        <f t="array" ref="AB261">_xlfn.IFS(X261&lt;0.6,T261,0.9&lt;X261,T261,X261,AA261)</f>
        <v>1872.0339875636419</v>
      </c>
      <c r="AC261">
        <v>0.893867105</v>
      </c>
      <c r="AD261">
        <v>2156.0239040000001</v>
      </c>
      <c r="AE261">
        <v>2156.0239040000001</v>
      </c>
      <c r="AG261">
        <v>0</v>
      </c>
      <c r="AH261">
        <v>260</v>
      </c>
    </row>
    <row r="262" spans="1:34" x14ac:dyDescent="0.25">
      <c r="A262" t="s">
        <v>768</v>
      </c>
      <c r="B262" t="s">
        <v>1027</v>
      </c>
      <c r="D262" t="s">
        <v>770</v>
      </c>
      <c r="E262">
        <v>261</v>
      </c>
      <c r="H262">
        <v>10018</v>
      </c>
      <c r="I262">
        <v>3</v>
      </c>
      <c r="J262" t="s">
        <v>771</v>
      </c>
      <c r="K262">
        <v>75000</v>
      </c>
      <c r="L262" t="s">
        <v>34</v>
      </c>
      <c r="M262">
        <v>56</v>
      </c>
      <c r="N262">
        <v>1018</v>
      </c>
      <c r="O262">
        <v>10</v>
      </c>
      <c r="P262">
        <v>18</v>
      </c>
      <c r="Q262">
        <v>70</v>
      </c>
      <c r="R262">
        <v>19.7</v>
      </c>
      <c r="S262">
        <v>614</v>
      </c>
      <c r="T262">
        <v>791</v>
      </c>
      <c r="U262" s="1">
        <v>45492</v>
      </c>
      <c r="V262" s="1">
        <v>45534</v>
      </c>
      <c r="W262">
        <v>137680</v>
      </c>
      <c r="X262">
        <v>0.90578351499999998</v>
      </c>
      <c r="Y262">
        <v>873.27709909999999</v>
      </c>
      <c r="Z262">
        <f t="shared" si="13"/>
        <v>0.97789175750000001</v>
      </c>
      <c r="AA262">
        <f t="shared" si="14"/>
        <v>808.88298110028802</v>
      </c>
      <c r="AB262" cm="1">
        <f t="array" ref="AB262">_xlfn.IFS(X262&lt;0.6,T262,0.9&lt;X262,T262,X262,AA262)</f>
        <v>791</v>
      </c>
      <c r="AC262">
        <v>0.96702423000000004</v>
      </c>
      <c r="AD262">
        <v>858.41155900000001</v>
      </c>
      <c r="AE262">
        <v>791</v>
      </c>
      <c r="AG262">
        <v>0</v>
      </c>
      <c r="AH262">
        <v>261</v>
      </c>
    </row>
    <row r="263" spans="1:34" x14ac:dyDescent="0.25">
      <c r="A263" t="s">
        <v>768</v>
      </c>
      <c r="B263" t="s">
        <v>1028</v>
      </c>
      <c r="D263" t="s">
        <v>770</v>
      </c>
      <c r="E263">
        <v>262</v>
      </c>
      <c r="H263">
        <v>9018</v>
      </c>
      <c r="I263">
        <v>3</v>
      </c>
      <c r="J263" t="s">
        <v>771</v>
      </c>
      <c r="K263">
        <v>75000</v>
      </c>
      <c r="L263" t="s">
        <v>42</v>
      </c>
      <c r="M263">
        <v>59</v>
      </c>
      <c r="N263">
        <v>918</v>
      </c>
      <c r="O263">
        <v>9</v>
      </c>
      <c r="P263">
        <v>18</v>
      </c>
      <c r="Q263">
        <v>26</v>
      </c>
      <c r="R263">
        <v>19.600000000000001</v>
      </c>
      <c r="S263">
        <v>1247</v>
      </c>
      <c r="T263">
        <v>1609</v>
      </c>
      <c r="U263" s="1">
        <v>45492</v>
      </c>
      <c r="V263" s="1">
        <v>45528</v>
      </c>
      <c r="W263">
        <v>150896</v>
      </c>
      <c r="X263">
        <v>0.99275643599999996</v>
      </c>
      <c r="Y263">
        <v>1620.7399330000001</v>
      </c>
      <c r="Z263">
        <f t="shared" si="13"/>
        <v>1.0213782179999999</v>
      </c>
      <c r="AA263">
        <f t="shared" si="14"/>
        <v>1575.322414012945</v>
      </c>
      <c r="AB263" cm="1">
        <f t="array" ref="AB263">_xlfn.IFS(X263&lt;0.6,T263,0.9&lt;X263,T263,X263,AA263)</f>
        <v>1609</v>
      </c>
      <c r="AC263">
        <v>0.99746475300000004</v>
      </c>
      <c r="AD263">
        <v>1618.9530769999999</v>
      </c>
      <c r="AE263">
        <v>1609</v>
      </c>
      <c r="AG263">
        <v>0</v>
      </c>
      <c r="AH263">
        <v>262</v>
      </c>
    </row>
    <row r="264" spans="1:34" x14ac:dyDescent="0.25">
      <c r="A264" t="s">
        <v>768</v>
      </c>
      <c r="B264" t="s">
        <v>1029</v>
      </c>
      <c r="D264" t="s">
        <v>770</v>
      </c>
      <c r="E264">
        <v>263</v>
      </c>
      <c r="H264">
        <v>8018</v>
      </c>
      <c r="I264">
        <v>3</v>
      </c>
      <c r="J264" t="s">
        <v>771</v>
      </c>
      <c r="K264">
        <v>75000</v>
      </c>
      <c r="L264" t="s">
        <v>62</v>
      </c>
      <c r="M264">
        <v>58</v>
      </c>
      <c r="N264">
        <v>818</v>
      </c>
      <c r="O264">
        <v>8</v>
      </c>
      <c r="P264">
        <v>18</v>
      </c>
      <c r="Q264">
        <v>48</v>
      </c>
      <c r="R264">
        <v>18.600000000000001</v>
      </c>
      <c r="S264">
        <v>1875</v>
      </c>
      <c r="T264">
        <v>2449</v>
      </c>
      <c r="U264" s="1">
        <v>45494</v>
      </c>
      <c r="V264" s="1">
        <v>45534</v>
      </c>
      <c r="W264">
        <v>124603</v>
      </c>
      <c r="X264">
        <v>0.81975657899999999</v>
      </c>
      <c r="Y264">
        <v>2987.4722120000001</v>
      </c>
      <c r="Z264">
        <f t="shared" si="13"/>
        <v>0.93487828950000007</v>
      </c>
      <c r="AA264">
        <f t="shared" si="14"/>
        <v>2619.5923335750967</v>
      </c>
      <c r="AB264" cm="1">
        <f t="array" ref="AB264">_xlfn.IFS(X264&lt;0.6,T264,0.9&lt;X264,T264,X264,AA264)</f>
        <v>2619.5923335750967</v>
      </c>
      <c r="AC264">
        <v>0.93691480299999996</v>
      </c>
      <c r="AD264">
        <v>2872.7999340000001</v>
      </c>
      <c r="AE264">
        <v>2872.7999340000001</v>
      </c>
      <c r="AG264">
        <v>0</v>
      </c>
      <c r="AH264">
        <v>263</v>
      </c>
    </row>
    <row r="265" spans="1:34" x14ac:dyDescent="0.25">
      <c r="A265" t="s">
        <v>768</v>
      </c>
      <c r="B265" t="s">
        <v>1030</v>
      </c>
      <c r="D265" t="s">
        <v>770</v>
      </c>
      <c r="E265">
        <v>264</v>
      </c>
      <c r="H265">
        <v>7018</v>
      </c>
      <c r="I265">
        <v>3</v>
      </c>
      <c r="J265" t="s">
        <v>771</v>
      </c>
      <c r="K265">
        <v>75000</v>
      </c>
      <c r="L265" t="s">
        <v>54</v>
      </c>
      <c r="M265">
        <v>55</v>
      </c>
      <c r="N265">
        <v>718</v>
      </c>
      <c r="O265">
        <v>7</v>
      </c>
      <c r="P265">
        <v>18</v>
      </c>
      <c r="Q265">
        <v>58</v>
      </c>
      <c r="R265">
        <v>18.899999999999999</v>
      </c>
      <c r="S265">
        <v>527</v>
      </c>
      <c r="T265">
        <v>686</v>
      </c>
      <c r="U265" s="1">
        <v>45490</v>
      </c>
      <c r="V265" s="1">
        <v>45525</v>
      </c>
      <c r="W265">
        <v>112910</v>
      </c>
      <c r="X265">
        <v>0.74282894700000002</v>
      </c>
      <c r="Y265">
        <v>923.49659020000001</v>
      </c>
      <c r="Z265">
        <f t="shared" si="13"/>
        <v>0.89641447350000003</v>
      </c>
      <c r="AA265">
        <f t="shared" si="14"/>
        <v>765.27099938664696</v>
      </c>
      <c r="AB265" cm="1">
        <f t="array" ref="AB265">_xlfn.IFS(X265&lt;0.6,T265,0.9&lt;X265,T265,X265,AA265)</f>
        <v>765.27099938664696</v>
      </c>
      <c r="AC265">
        <v>0.90999013100000004</v>
      </c>
      <c r="AD265">
        <v>865.09273370000005</v>
      </c>
      <c r="AE265">
        <v>865.09273370000005</v>
      </c>
      <c r="AG265">
        <v>0</v>
      </c>
      <c r="AH265">
        <v>264</v>
      </c>
    </row>
    <row r="266" spans="1:34" x14ac:dyDescent="0.25">
      <c r="A266" t="s">
        <v>768</v>
      </c>
      <c r="B266" t="s">
        <v>1031</v>
      </c>
      <c r="D266" t="s">
        <v>770</v>
      </c>
      <c r="E266">
        <v>265</v>
      </c>
      <c r="H266">
        <v>6018</v>
      </c>
      <c r="I266">
        <v>3</v>
      </c>
      <c r="J266" t="s">
        <v>771</v>
      </c>
      <c r="K266">
        <v>75000</v>
      </c>
      <c r="L266" t="s">
        <v>38</v>
      </c>
      <c r="M266">
        <v>48</v>
      </c>
      <c r="N266">
        <v>618</v>
      </c>
      <c r="O266">
        <v>6</v>
      </c>
      <c r="P266">
        <v>18</v>
      </c>
      <c r="Q266">
        <v>41</v>
      </c>
      <c r="R266">
        <v>17.8</v>
      </c>
      <c r="S266">
        <v>2207</v>
      </c>
      <c r="T266">
        <v>2911</v>
      </c>
      <c r="U266" s="1">
        <v>45497</v>
      </c>
      <c r="V266" s="1">
        <v>45534</v>
      </c>
      <c r="W266">
        <v>141755</v>
      </c>
      <c r="X266">
        <v>0.93259868400000001</v>
      </c>
      <c r="Y266">
        <v>3121.3854889999998</v>
      </c>
      <c r="Z266">
        <f t="shared" si="13"/>
        <v>0.99129934200000003</v>
      </c>
      <c r="AA266">
        <f t="shared" si="14"/>
        <v>2936.5499165236001</v>
      </c>
      <c r="AB266" cm="1">
        <f t="array" ref="AB266">_xlfn.IFS(X266&lt;0.6,T266,0.9&lt;X266,T266,X266,AA266)</f>
        <v>2911</v>
      </c>
      <c r="AC266">
        <v>0.97640953900000005</v>
      </c>
      <c r="AD266">
        <v>3085.3078759999999</v>
      </c>
      <c r="AE266">
        <v>2911</v>
      </c>
      <c r="AG266">
        <v>0</v>
      </c>
      <c r="AH266">
        <v>265</v>
      </c>
    </row>
    <row r="267" spans="1:34" x14ac:dyDescent="0.25">
      <c r="A267" t="s">
        <v>768</v>
      </c>
      <c r="B267" t="s">
        <v>1032</v>
      </c>
      <c r="D267" t="s">
        <v>770</v>
      </c>
      <c r="E267">
        <v>266</v>
      </c>
      <c r="H267">
        <v>5018</v>
      </c>
      <c r="I267">
        <v>3</v>
      </c>
      <c r="J267" t="s">
        <v>771</v>
      </c>
      <c r="K267">
        <v>75000</v>
      </c>
      <c r="L267" t="s">
        <v>30</v>
      </c>
      <c r="M267">
        <v>60</v>
      </c>
      <c r="N267">
        <v>518</v>
      </c>
      <c r="O267">
        <v>5</v>
      </c>
      <c r="P267">
        <v>18</v>
      </c>
      <c r="Q267">
        <v>27</v>
      </c>
      <c r="R267">
        <v>18.600000000000001</v>
      </c>
      <c r="S267">
        <v>1694</v>
      </c>
      <c r="T267">
        <v>2213</v>
      </c>
      <c r="U267" s="1">
        <v>45494</v>
      </c>
      <c r="V267" s="1">
        <v>45530</v>
      </c>
      <c r="W267">
        <v>127655</v>
      </c>
      <c r="X267">
        <v>0.83984105200000003</v>
      </c>
      <c r="Y267">
        <v>2635.0224199999998</v>
      </c>
      <c r="Z267">
        <f t="shared" si="13"/>
        <v>0.94492052599999998</v>
      </c>
      <c r="AA267">
        <f t="shared" si="14"/>
        <v>2341.9959024151835</v>
      </c>
      <c r="AB267" cm="1">
        <f t="array" ref="AB267">_xlfn.IFS(X267&lt;0.6,T267,0.9&lt;X267,T267,X267,AA267)</f>
        <v>2341.9959024151835</v>
      </c>
      <c r="AC267">
        <v>0.94394436800000003</v>
      </c>
      <c r="AD267">
        <v>2548.5003940000001</v>
      </c>
      <c r="AE267">
        <v>2548.5003940000001</v>
      </c>
      <c r="AG267">
        <v>0</v>
      </c>
      <c r="AH267">
        <v>266</v>
      </c>
    </row>
    <row r="268" spans="1:34" x14ac:dyDescent="0.25">
      <c r="A268" t="s">
        <v>768</v>
      </c>
      <c r="B268" t="s">
        <v>1033</v>
      </c>
      <c r="D268" t="s">
        <v>770</v>
      </c>
      <c r="E268">
        <v>267</v>
      </c>
      <c r="H268">
        <v>4018</v>
      </c>
      <c r="I268">
        <v>3</v>
      </c>
      <c r="J268" t="s">
        <v>771</v>
      </c>
      <c r="K268">
        <v>75000</v>
      </c>
      <c r="L268" t="s">
        <v>58</v>
      </c>
      <c r="M268">
        <v>54</v>
      </c>
      <c r="N268">
        <v>418</v>
      </c>
      <c r="O268">
        <v>4</v>
      </c>
      <c r="P268">
        <v>18</v>
      </c>
      <c r="Q268">
        <v>61</v>
      </c>
      <c r="R268">
        <v>20.3</v>
      </c>
      <c r="S268">
        <v>636</v>
      </c>
      <c r="T268">
        <v>813</v>
      </c>
      <c r="U268" s="1">
        <v>45492</v>
      </c>
      <c r="V268" s="1">
        <v>45523</v>
      </c>
      <c r="W268">
        <v>148587</v>
      </c>
      <c r="X268">
        <v>0.97753319000000005</v>
      </c>
      <c r="Y268">
        <v>831.68531570000005</v>
      </c>
      <c r="Z268">
        <f t="shared" si="13"/>
        <v>1.0137665950000001</v>
      </c>
      <c r="AA268">
        <f t="shared" si="14"/>
        <v>801.95974498449505</v>
      </c>
      <c r="AB268" cm="1">
        <f t="array" ref="AB268">_xlfn.IFS(X268&lt;0.6,T268,0.9&lt;X268,T268,X268,AA268)</f>
        <v>813</v>
      </c>
      <c r="AC268">
        <v>0.992136617</v>
      </c>
      <c r="AD268">
        <v>828.75332100000003</v>
      </c>
      <c r="AE268">
        <v>813</v>
      </c>
      <c r="AG268">
        <v>0</v>
      </c>
      <c r="AH268">
        <v>267</v>
      </c>
    </row>
    <row r="269" spans="1:34" x14ac:dyDescent="0.25">
      <c r="A269" t="s">
        <v>768</v>
      </c>
      <c r="B269" t="s">
        <v>1034</v>
      </c>
      <c r="D269" t="s">
        <v>770</v>
      </c>
      <c r="E269">
        <v>268</v>
      </c>
      <c r="H269">
        <v>3018</v>
      </c>
      <c r="I269">
        <v>3</v>
      </c>
      <c r="J269" t="s">
        <v>771</v>
      </c>
      <c r="K269">
        <v>75000</v>
      </c>
      <c r="L269" t="s">
        <v>74</v>
      </c>
      <c r="M269">
        <v>46</v>
      </c>
      <c r="N269">
        <v>318</v>
      </c>
      <c r="O269">
        <v>3</v>
      </c>
      <c r="P269">
        <v>18</v>
      </c>
      <c r="Q269">
        <v>28</v>
      </c>
      <c r="R269">
        <v>20.5</v>
      </c>
      <c r="S269">
        <v>1838</v>
      </c>
      <c r="T269">
        <v>2345</v>
      </c>
      <c r="U269" s="1">
        <v>45496</v>
      </c>
      <c r="V269" s="1">
        <v>45537</v>
      </c>
      <c r="W269">
        <v>140291</v>
      </c>
      <c r="X269">
        <v>0.92297317700000003</v>
      </c>
      <c r="Y269">
        <v>2540.7022189999998</v>
      </c>
      <c r="Z269">
        <f t="shared" si="13"/>
        <v>0.98648658850000004</v>
      </c>
      <c r="AA269">
        <f t="shared" si="14"/>
        <v>2377.1230418506598</v>
      </c>
      <c r="AB269" cm="1">
        <f t="array" ref="AB269">_xlfn.IFS(X269&lt;0.6,T269,0.9&lt;X269,T269,X269,AA269)</f>
        <v>2345</v>
      </c>
      <c r="AC269">
        <v>0.97304061200000003</v>
      </c>
      <c r="AD269">
        <v>2506.5054270000001</v>
      </c>
      <c r="AE269">
        <v>2345</v>
      </c>
      <c r="AG269">
        <v>0</v>
      </c>
      <c r="AH269">
        <v>268</v>
      </c>
    </row>
    <row r="270" spans="1:34" x14ac:dyDescent="0.25">
      <c r="A270" t="s">
        <v>768</v>
      </c>
      <c r="B270" t="s">
        <v>1035</v>
      </c>
      <c r="D270" t="s">
        <v>770</v>
      </c>
      <c r="E270">
        <v>269</v>
      </c>
      <c r="H270">
        <v>2018</v>
      </c>
      <c r="I270">
        <v>3</v>
      </c>
      <c r="J270" t="s">
        <v>771</v>
      </c>
      <c r="K270">
        <v>75000</v>
      </c>
      <c r="L270" t="s">
        <v>50</v>
      </c>
      <c r="M270">
        <v>49</v>
      </c>
      <c r="N270">
        <v>218</v>
      </c>
      <c r="O270">
        <v>2</v>
      </c>
      <c r="P270">
        <v>18</v>
      </c>
      <c r="Q270">
        <v>71</v>
      </c>
      <c r="R270">
        <v>21.9</v>
      </c>
      <c r="S270">
        <v>720</v>
      </c>
      <c r="T270">
        <v>902</v>
      </c>
      <c r="U270" s="1">
        <v>45494</v>
      </c>
      <c r="V270" s="1">
        <v>45537</v>
      </c>
      <c r="W270">
        <v>142915</v>
      </c>
      <c r="X270">
        <v>0.94022407699999999</v>
      </c>
      <c r="Y270">
        <v>959.34577899999999</v>
      </c>
      <c r="Z270">
        <f t="shared" si="13"/>
        <v>0.99511203850000007</v>
      </c>
      <c r="AA270">
        <f t="shared" si="14"/>
        <v>906.430597864785</v>
      </c>
      <c r="AB270" cm="1">
        <f t="array" ref="AB270">_xlfn.IFS(X270&lt;0.6,T270,0.9&lt;X270,T270,X270,AA270)</f>
        <v>902</v>
      </c>
      <c r="AC270">
        <v>0.97907842700000003</v>
      </c>
      <c r="AD270">
        <v>949.65784929999995</v>
      </c>
      <c r="AE270">
        <v>902</v>
      </c>
      <c r="AG270">
        <v>0</v>
      </c>
      <c r="AH270">
        <v>269</v>
      </c>
    </row>
    <row r="271" spans="1:34" x14ac:dyDescent="0.25">
      <c r="A271" t="s">
        <v>768</v>
      </c>
      <c r="B271" t="s">
        <v>1036</v>
      </c>
      <c r="D271" t="s">
        <v>770</v>
      </c>
      <c r="E271">
        <v>270</v>
      </c>
      <c r="H271">
        <v>1018</v>
      </c>
      <c r="I271">
        <v>3</v>
      </c>
      <c r="J271" t="s">
        <v>771</v>
      </c>
      <c r="K271">
        <v>75000</v>
      </c>
      <c r="L271" t="s">
        <v>46</v>
      </c>
      <c r="M271">
        <v>50</v>
      </c>
      <c r="N271">
        <v>118</v>
      </c>
      <c r="O271">
        <v>1</v>
      </c>
      <c r="P271">
        <v>18</v>
      </c>
      <c r="Q271">
        <v>28</v>
      </c>
      <c r="R271">
        <v>16.5</v>
      </c>
      <c r="S271">
        <v>1392</v>
      </c>
      <c r="T271">
        <v>1865</v>
      </c>
      <c r="U271" s="1">
        <v>45498</v>
      </c>
      <c r="V271" s="1">
        <v>45525</v>
      </c>
      <c r="W271">
        <v>142536</v>
      </c>
      <c r="X271">
        <v>0.93773067300000001</v>
      </c>
      <c r="Y271">
        <v>1988.8439760000001</v>
      </c>
      <c r="Z271">
        <f t="shared" si="13"/>
        <v>0.99386533650000008</v>
      </c>
      <c r="AA271">
        <f t="shared" si="14"/>
        <v>1876.5117682520161</v>
      </c>
      <c r="AB271" cm="1">
        <f t="array" ref="AB271">_xlfn.IFS(X271&lt;0.6,T271,0.9&lt;X271,T271,X271,AA271)</f>
        <v>1865</v>
      </c>
      <c r="AC271">
        <v>0.97820573600000005</v>
      </c>
      <c r="AD271">
        <v>1967.8192879999999</v>
      </c>
      <c r="AE271">
        <v>1865</v>
      </c>
      <c r="AG271">
        <v>0</v>
      </c>
      <c r="AH271">
        <v>270</v>
      </c>
    </row>
    <row r="272" spans="1:34" x14ac:dyDescent="0.25">
      <c r="A272" t="s">
        <v>768</v>
      </c>
      <c r="B272" t="s">
        <v>1037</v>
      </c>
      <c r="D272" t="s">
        <v>770</v>
      </c>
      <c r="E272">
        <v>271</v>
      </c>
      <c r="H272">
        <v>1019</v>
      </c>
      <c r="I272">
        <v>4</v>
      </c>
      <c r="J272" t="s">
        <v>25</v>
      </c>
      <c r="K272">
        <v>75000</v>
      </c>
      <c r="L272" t="s">
        <v>66</v>
      </c>
      <c r="M272">
        <v>12</v>
      </c>
      <c r="N272">
        <v>119</v>
      </c>
      <c r="O272">
        <v>1</v>
      </c>
      <c r="P272">
        <v>19</v>
      </c>
      <c r="Q272">
        <v>76</v>
      </c>
      <c r="R272">
        <v>18</v>
      </c>
      <c r="S272">
        <v>201</v>
      </c>
      <c r="T272">
        <v>264</v>
      </c>
      <c r="U272" s="1">
        <v>45492</v>
      </c>
      <c r="W272">
        <v>118264</v>
      </c>
      <c r="X272">
        <v>0.88502673799999998</v>
      </c>
      <c r="Y272">
        <v>339.3108977</v>
      </c>
      <c r="Z272">
        <f t="shared" si="13"/>
        <v>0.96751336899999996</v>
      </c>
      <c r="AA272">
        <f t="shared" si="14"/>
        <v>272.86444658936801</v>
      </c>
      <c r="AB272" cm="1">
        <f t="array" ref="AB272">_xlfn.IFS(X272&lt;0.6,T272,0.9&lt;X272,T272,X272,AA272)</f>
        <v>272.86444658936801</v>
      </c>
      <c r="AC272">
        <v>0.95975935800000001</v>
      </c>
      <c r="AD272">
        <v>309.40562510000001</v>
      </c>
      <c r="AE272">
        <v>309.40562510000001</v>
      </c>
      <c r="AG272">
        <v>0</v>
      </c>
      <c r="AH272">
        <v>271</v>
      </c>
    </row>
    <row r="273" spans="1:34" x14ac:dyDescent="0.25">
      <c r="A273" t="s">
        <v>768</v>
      </c>
      <c r="B273" t="s">
        <v>1038</v>
      </c>
      <c r="D273" t="s">
        <v>770</v>
      </c>
      <c r="E273">
        <v>272</v>
      </c>
      <c r="H273">
        <v>2019</v>
      </c>
      <c r="I273">
        <v>4</v>
      </c>
      <c r="J273" t="s">
        <v>25</v>
      </c>
      <c r="K273">
        <v>75000</v>
      </c>
      <c r="L273" t="s">
        <v>50</v>
      </c>
      <c r="M273">
        <v>4</v>
      </c>
      <c r="N273">
        <v>219</v>
      </c>
      <c r="O273">
        <v>2</v>
      </c>
      <c r="P273">
        <v>19</v>
      </c>
      <c r="Q273">
        <v>70</v>
      </c>
      <c r="R273">
        <v>20.7</v>
      </c>
      <c r="S273">
        <v>639</v>
      </c>
      <c r="T273">
        <v>813</v>
      </c>
      <c r="U273" s="1">
        <v>45493</v>
      </c>
      <c r="W273">
        <v>124607</v>
      </c>
      <c r="X273">
        <v>0.897413024</v>
      </c>
      <c r="Y273">
        <v>991.73251100000004</v>
      </c>
      <c r="Z273">
        <f t="shared" si="13"/>
        <v>0.97370651200000002</v>
      </c>
      <c r="AA273">
        <f t="shared" si="14"/>
        <v>834.95384900948466</v>
      </c>
      <c r="AB273" cm="1">
        <f t="array" ref="AB273">_xlfn.IFS(X273&lt;0.6,T273,0.9&lt;X273,T273,X273,AA273)</f>
        <v>834.95384900948466</v>
      </c>
      <c r="AC273">
        <v>0.96409455799999999</v>
      </c>
      <c r="AD273">
        <v>926.79272990000004</v>
      </c>
      <c r="AE273">
        <v>926.79272990000004</v>
      </c>
      <c r="AG273">
        <v>0</v>
      </c>
      <c r="AH273">
        <v>272</v>
      </c>
    </row>
    <row r="274" spans="1:34" x14ac:dyDescent="0.25">
      <c r="A274" t="s">
        <v>768</v>
      </c>
      <c r="B274" t="s">
        <v>1039</v>
      </c>
      <c r="D274" t="s">
        <v>770</v>
      </c>
      <c r="E274">
        <v>273</v>
      </c>
      <c r="H274">
        <v>3019</v>
      </c>
      <c r="I274">
        <v>4</v>
      </c>
      <c r="J274" t="s">
        <v>25</v>
      </c>
      <c r="K274">
        <v>75000</v>
      </c>
      <c r="L274" t="s">
        <v>80</v>
      </c>
      <c r="M274">
        <v>2</v>
      </c>
      <c r="N274">
        <v>319</v>
      </c>
      <c r="O274">
        <v>3</v>
      </c>
      <c r="P274">
        <v>19</v>
      </c>
      <c r="Q274">
        <v>43</v>
      </c>
      <c r="R274">
        <v>17.100000000000001</v>
      </c>
      <c r="S274">
        <v>1417</v>
      </c>
      <c r="T274">
        <v>1885</v>
      </c>
      <c r="U274" s="1">
        <v>45497</v>
      </c>
      <c r="V274" s="1">
        <v>45536</v>
      </c>
      <c r="W274">
        <v>114733</v>
      </c>
      <c r="X274">
        <v>0.81233244000000004</v>
      </c>
      <c r="Y274">
        <v>2497.2762849999999</v>
      </c>
      <c r="Z274">
        <f t="shared" si="13"/>
        <v>0.93116622000000004</v>
      </c>
      <c r="AA274">
        <f t="shared" si="14"/>
        <v>2024.3431940647502</v>
      </c>
      <c r="AB274" cm="1">
        <f t="array" ref="AB274">_xlfn.IFS(X274&lt;0.6,T274,0.9&lt;X274,T274,X274,AA274)</f>
        <v>2024.3431940647502</v>
      </c>
      <c r="AC274">
        <v>0.93431635400000002</v>
      </c>
      <c r="AD274">
        <v>2299.3984700000001</v>
      </c>
      <c r="AE274">
        <v>2299.3984700000001</v>
      </c>
      <c r="AG274">
        <v>0</v>
      </c>
      <c r="AH274">
        <v>273</v>
      </c>
    </row>
    <row r="275" spans="1:34" x14ac:dyDescent="0.25">
      <c r="A275" t="s">
        <v>768</v>
      </c>
      <c r="B275" t="s">
        <v>1040</v>
      </c>
      <c r="D275" t="s">
        <v>770</v>
      </c>
      <c r="E275">
        <v>274</v>
      </c>
      <c r="H275">
        <v>4019</v>
      </c>
      <c r="I275">
        <v>4</v>
      </c>
      <c r="J275" t="s">
        <v>25</v>
      </c>
      <c r="K275">
        <v>75000</v>
      </c>
      <c r="L275" t="s">
        <v>26</v>
      </c>
      <c r="M275">
        <v>8</v>
      </c>
      <c r="N275">
        <v>419</v>
      </c>
      <c r="O275">
        <v>4</v>
      </c>
      <c r="P275">
        <v>19</v>
      </c>
      <c r="Q275">
        <v>41</v>
      </c>
      <c r="R275">
        <v>18.399999999999999</v>
      </c>
      <c r="S275">
        <v>1685</v>
      </c>
      <c r="T275">
        <v>2206</v>
      </c>
      <c r="U275" s="1">
        <v>45498</v>
      </c>
      <c r="V275" s="1">
        <v>45534</v>
      </c>
      <c r="W275">
        <v>117431</v>
      </c>
      <c r="X275">
        <v>0.84539767600000004</v>
      </c>
      <c r="Y275">
        <v>2855.3395780000001</v>
      </c>
      <c r="Z275">
        <f t="shared" si="13"/>
        <v>0.94769883799999999</v>
      </c>
      <c r="AA275">
        <f t="shared" si="14"/>
        <v>2327.7437003673945</v>
      </c>
      <c r="AB275" cm="1">
        <f t="array" ref="AB275">_xlfn.IFS(X275&lt;0.6,T275,0.9&lt;X275,T275,X275,AA275)</f>
        <v>2327.7437003673945</v>
      </c>
      <c r="AC275">
        <v>0.94588918700000002</v>
      </c>
      <c r="AD275">
        <v>2631.4040089999999</v>
      </c>
      <c r="AE275">
        <v>2631.4040089999999</v>
      </c>
      <c r="AG275">
        <v>0</v>
      </c>
      <c r="AH275">
        <v>274</v>
      </c>
    </row>
    <row r="276" spans="1:34" x14ac:dyDescent="0.25">
      <c r="A276" t="s">
        <v>768</v>
      </c>
      <c r="B276" t="s">
        <v>1041</v>
      </c>
      <c r="D276" t="s">
        <v>770</v>
      </c>
      <c r="E276">
        <v>275</v>
      </c>
      <c r="H276">
        <v>5019</v>
      </c>
      <c r="I276">
        <v>4</v>
      </c>
      <c r="J276" t="s">
        <v>25</v>
      </c>
      <c r="K276">
        <v>75000</v>
      </c>
      <c r="L276" t="s">
        <v>78</v>
      </c>
      <c r="M276">
        <v>6</v>
      </c>
      <c r="N276">
        <v>519</v>
      </c>
      <c r="O276">
        <v>5</v>
      </c>
      <c r="P276">
        <v>19</v>
      </c>
      <c r="Q276">
        <v>59</v>
      </c>
      <c r="R276">
        <v>18.8</v>
      </c>
      <c r="S276">
        <v>592</v>
      </c>
      <c r="T276">
        <v>771</v>
      </c>
      <c r="U276" s="1">
        <v>45491</v>
      </c>
      <c r="V276" s="1">
        <v>45524</v>
      </c>
      <c r="W276">
        <v>119543</v>
      </c>
      <c r="X276">
        <v>0.90178571399999996</v>
      </c>
      <c r="Y276">
        <v>980.32698689999995</v>
      </c>
      <c r="Z276">
        <f t="shared" si="13"/>
        <v>0.97589285700000006</v>
      </c>
      <c r="AA276">
        <f t="shared" si="14"/>
        <v>790.04574576981452</v>
      </c>
      <c r="AB276" cm="1">
        <f t="array" ref="AB276">_xlfn.IFS(X276&lt;0.6,T276,0.9&lt;X276,T276,X276,AA276)</f>
        <v>771</v>
      </c>
      <c r="AC276">
        <v>0.96562499999999996</v>
      </c>
      <c r="AD276">
        <v>893.88076309999997</v>
      </c>
      <c r="AE276">
        <v>771</v>
      </c>
      <c r="AG276">
        <v>0</v>
      </c>
      <c r="AH276">
        <v>275</v>
      </c>
    </row>
    <row r="277" spans="1:34" x14ac:dyDescent="0.25">
      <c r="A277" t="s">
        <v>768</v>
      </c>
      <c r="B277" t="s">
        <v>1042</v>
      </c>
      <c r="D277" t="s">
        <v>770</v>
      </c>
      <c r="E277">
        <v>276</v>
      </c>
      <c r="H277">
        <v>6019</v>
      </c>
      <c r="I277">
        <v>4</v>
      </c>
      <c r="J277" t="s">
        <v>25</v>
      </c>
      <c r="K277">
        <v>75000</v>
      </c>
      <c r="L277" t="s">
        <v>70</v>
      </c>
      <c r="M277">
        <v>7</v>
      </c>
      <c r="N277">
        <v>619</v>
      </c>
      <c r="O277">
        <v>6</v>
      </c>
      <c r="P277">
        <v>19</v>
      </c>
      <c r="Q277">
        <v>0</v>
      </c>
      <c r="R277">
        <v>17.600000000000001</v>
      </c>
      <c r="S277">
        <v>1003</v>
      </c>
      <c r="T277">
        <v>1326</v>
      </c>
      <c r="U277" s="1">
        <v>45498</v>
      </c>
      <c r="V277" s="1">
        <v>45536</v>
      </c>
      <c r="W277">
        <v>107330</v>
      </c>
      <c r="X277">
        <v>0.71033868099999997</v>
      </c>
      <c r="Y277">
        <v>1877.8843380000001</v>
      </c>
      <c r="Z277">
        <f t="shared" si="13"/>
        <v>0.88016934049999995</v>
      </c>
      <c r="AA277">
        <f t="shared" si="14"/>
        <v>1506.5282769867169</v>
      </c>
      <c r="AB277" cm="1">
        <f t="array" ref="AB277">_xlfn.IFS(X277&lt;0.6,T277,0.9&lt;X277,T277,X277,AA277)</f>
        <v>1506.5282769867169</v>
      </c>
      <c r="AC277">
        <v>0.89861853800000002</v>
      </c>
      <c r="AD277">
        <v>1729.7771519999999</v>
      </c>
      <c r="AE277">
        <v>1729.7771519999999</v>
      </c>
      <c r="AG277">
        <v>0</v>
      </c>
      <c r="AH277">
        <v>276</v>
      </c>
    </row>
    <row r="278" spans="1:34" x14ac:dyDescent="0.25">
      <c r="A278" t="s">
        <v>768</v>
      </c>
      <c r="B278">
        <v>1261178526</v>
      </c>
      <c r="D278" t="s">
        <v>770</v>
      </c>
      <c r="E278">
        <v>277</v>
      </c>
      <c r="H278">
        <v>7019</v>
      </c>
      <c r="I278">
        <v>4</v>
      </c>
      <c r="J278" t="s">
        <v>25</v>
      </c>
      <c r="K278">
        <v>75000</v>
      </c>
      <c r="L278" t="s">
        <v>34</v>
      </c>
      <c r="M278">
        <v>11</v>
      </c>
      <c r="N278">
        <v>719</v>
      </c>
      <c r="O278">
        <v>7</v>
      </c>
      <c r="P278">
        <v>19</v>
      </c>
      <c r="U278" s="1">
        <v>45489</v>
      </c>
      <c r="V278" s="1">
        <v>45525</v>
      </c>
      <c r="W278">
        <v>123278</v>
      </c>
      <c r="X278">
        <v>0.94101876699999998</v>
      </c>
      <c r="Z278">
        <f t="shared" si="13"/>
        <v>0.99550938349999996</v>
      </c>
      <c r="AG278">
        <v>0</v>
      </c>
      <c r="AH278">
        <v>277</v>
      </c>
    </row>
    <row r="279" spans="1:34" x14ac:dyDescent="0.25">
      <c r="A279" t="s">
        <v>768</v>
      </c>
      <c r="B279" t="s">
        <v>1043</v>
      </c>
      <c r="D279" t="s">
        <v>770</v>
      </c>
      <c r="E279">
        <v>278</v>
      </c>
      <c r="H279">
        <v>8019</v>
      </c>
      <c r="I279">
        <v>4</v>
      </c>
      <c r="J279" t="s">
        <v>25</v>
      </c>
      <c r="K279">
        <v>75000</v>
      </c>
      <c r="L279" t="s">
        <v>74</v>
      </c>
      <c r="M279">
        <v>1</v>
      </c>
      <c r="N279">
        <v>819</v>
      </c>
      <c r="O279">
        <v>8</v>
      </c>
      <c r="P279">
        <v>19</v>
      </c>
      <c r="Q279">
        <v>27</v>
      </c>
      <c r="R279">
        <v>19.100000000000001</v>
      </c>
      <c r="S279">
        <v>1860</v>
      </c>
      <c r="T279">
        <v>2415</v>
      </c>
      <c r="U279" s="1">
        <v>45495</v>
      </c>
      <c r="V279" s="1">
        <v>45536</v>
      </c>
      <c r="W279">
        <v>123954</v>
      </c>
      <c r="X279">
        <v>0.91771019700000001</v>
      </c>
      <c r="Y279">
        <v>2961.4601379999999</v>
      </c>
      <c r="Z279">
        <f t="shared" si="13"/>
        <v>0.98385509850000008</v>
      </c>
      <c r="AA279">
        <f t="shared" ref="AA279:AA284" si="15">T279/Z279</f>
        <v>2454.6297556235104</v>
      </c>
      <c r="AB279" cm="1">
        <f t="array" ref="AB279">_xlfn.IFS(X279&lt;0.6,T279,0.9&lt;X279,T279,X279,AA279)</f>
        <v>2415</v>
      </c>
      <c r="AC279">
        <v>0.97119856900000001</v>
      </c>
      <c r="AD279">
        <v>2739.3565189999999</v>
      </c>
      <c r="AE279">
        <v>2415</v>
      </c>
      <c r="AG279">
        <v>0</v>
      </c>
      <c r="AH279">
        <v>278</v>
      </c>
    </row>
    <row r="280" spans="1:34" x14ac:dyDescent="0.25">
      <c r="A280" t="s">
        <v>768</v>
      </c>
      <c r="B280" t="s">
        <v>1044</v>
      </c>
      <c r="D280" t="s">
        <v>770</v>
      </c>
      <c r="E280">
        <v>279</v>
      </c>
      <c r="H280">
        <v>9019</v>
      </c>
      <c r="I280">
        <v>4</v>
      </c>
      <c r="J280" t="s">
        <v>25</v>
      </c>
      <c r="K280">
        <v>75000</v>
      </c>
      <c r="L280" t="s">
        <v>54</v>
      </c>
      <c r="M280">
        <v>10</v>
      </c>
      <c r="N280">
        <v>919</v>
      </c>
      <c r="O280">
        <v>9</v>
      </c>
      <c r="P280">
        <v>19</v>
      </c>
      <c r="Q280">
        <v>69</v>
      </c>
      <c r="R280">
        <v>19.399999999999999</v>
      </c>
      <c r="S280">
        <v>368</v>
      </c>
      <c r="T280">
        <v>476</v>
      </c>
      <c r="U280" s="1">
        <v>45490</v>
      </c>
      <c r="V280" s="1">
        <v>45525</v>
      </c>
      <c r="W280">
        <v>123365</v>
      </c>
      <c r="X280">
        <v>0.92486583200000005</v>
      </c>
      <c r="Y280">
        <v>586.49497020000001</v>
      </c>
      <c r="Z280">
        <f t="shared" si="13"/>
        <v>0.98743291600000005</v>
      </c>
      <c r="AA280">
        <f t="shared" si="15"/>
        <v>482.05806418549651</v>
      </c>
      <c r="AB280" cm="1">
        <f t="array" ref="AB280">_xlfn.IFS(X280&lt;0.6,T280,0.9&lt;X280,T280,X280,AA280)</f>
        <v>476</v>
      </c>
      <c r="AC280">
        <v>0.97370304100000005</v>
      </c>
      <c r="AD280">
        <v>539.69429979999995</v>
      </c>
      <c r="AE280">
        <v>476</v>
      </c>
      <c r="AG280">
        <v>0</v>
      </c>
      <c r="AH280">
        <v>279</v>
      </c>
    </row>
    <row r="281" spans="1:34" x14ac:dyDescent="0.25">
      <c r="A281" t="s">
        <v>768</v>
      </c>
      <c r="B281" t="s">
        <v>1045</v>
      </c>
      <c r="D281" t="s">
        <v>770</v>
      </c>
      <c r="E281">
        <v>280</v>
      </c>
      <c r="H281">
        <v>10019</v>
      </c>
      <c r="I281">
        <v>4</v>
      </c>
      <c r="J281" t="s">
        <v>25</v>
      </c>
      <c r="K281">
        <v>75000</v>
      </c>
      <c r="L281" t="s">
        <v>62</v>
      </c>
      <c r="M281">
        <v>13</v>
      </c>
      <c r="N281">
        <v>1019</v>
      </c>
      <c r="O281">
        <v>10</v>
      </c>
      <c r="P281">
        <v>19</v>
      </c>
      <c r="Q281">
        <v>29</v>
      </c>
      <c r="R281">
        <v>18.899999999999999</v>
      </c>
      <c r="S281">
        <v>1261</v>
      </c>
      <c r="T281">
        <v>1641</v>
      </c>
      <c r="U281" s="1">
        <v>45499</v>
      </c>
      <c r="V281" s="1">
        <v>45534</v>
      </c>
      <c r="W281">
        <v>110099</v>
      </c>
      <c r="X281">
        <v>0.67975022299999999</v>
      </c>
      <c r="Y281">
        <v>2265.4948549999999</v>
      </c>
      <c r="Z281">
        <f t="shared" si="13"/>
        <v>0.86487511149999996</v>
      </c>
      <c r="AA281">
        <f t="shared" si="15"/>
        <v>1897.3837704196671</v>
      </c>
      <c r="AB281" cm="1">
        <f t="array" ref="AB281">_xlfn.IFS(X281&lt;0.6,T281,0.9&lt;X281,T281,X281,AA281)</f>
        <v>1897.3837704196671</v>
      </c>
      <c r="AC281">
        <v>0.88791257800000001</v>
      </c>
      <c r="AD281">
        <v>2143.6021900000001</v>
      </c>
      <c r="AE281">
        <v>2143.6021900000001</v>
      </c>
      <c r="AG281">
        <v>0</v>
      </c>
      <c r="AH281">
        <v>280</v>
      </c>
    </row>
    <row r="282" spans="1:34" x14ac:dyDescent="0.25">
      <c r="A282" t="s">
        <v>768</v>
      </c>
      <c r="B282" t="s">
        <v>1046</v>
      </c>
      <c r="D282" t="s">
        <v>770</v>
      </c>
      <c r="E282">
        <v>281</v>
      </c>
      <c r="H282">
        <v>11019</v>
      </c>
      <c r="I282">
        <v>4</v>
      </c>
      <c r="J282" t="s">
        <v>25</v>
      </c>
      <c r="K282">
        <v>75000</v>
      </c>
      <c r="L282" t="s">
        <v>38</v>
      </c>
      <c r="M282">
        <v>3</v>
      </c>
      <c r="N282">
        <v>1119</v>
      </c>
      <c r="O282">
        <v>11</v>
      </c>
      <c r="P282">
        <v>19</v>
      </c>
      <c r="Q282">
        <v>41</v>
      </c>
      <c r="R282">
        <v>19.100000000000001</v>
      </c>
      <c r="S282">
        <v>1497</v>
      </c>
      <c r="T282">
        <v>1943</v>
      </c>
      <c r="U282" s="1">
        <v>45496</v>
      </c>
      <c r="V282" s="1">
        <v>45536</v>
      </c>
      <c r="W282">
        <v>111372</v>
      </c>
      <c r="X282">
        <v>0.80411449000000002</v>
      </c>
      <c r="Y282">
        <v>2651.8150249999999</v>
      </c>
      <c r="Z282">
        <f t="shared" si="13"/>
        <v>0.92705724500000009</v>
      </c>
      <c r="AA282">
        <f t="shared" si="15"/>
        <v>2095.8792032308638</v>
      </c>
      <c r="AB282" cm="1">
        <f t="array" ref="AB282">_xlfn.IFS(X282&lt;0.6,T282,0.9&lt;X282,T282,X282,AA282)</f>
        <v>2095.8792032308638</v>
      </c>
      <c r="AC282">
        <v>0.93144007200000001</v>
      </c>
      <c r="AD282">
        <v>2407.8147629999999</v>
      </c>
      <c r="AE282">
        <v>2407.8147629999999</v>
      </c>
      <c r="AG282">
        <v>0</v>
      </c>
      <c r="AH282">
        <v>281</v>
      </c>
    </row>
    <row r="283" spans="1:34" x14ac:dyDescent="0.25">
      <c r="A283" t="s">
        <v>768</v>
      </c>
      <c r="B283" t="s">
        <v>1047</v>
      </c>
      <c r="D283" t="s">
        <v>770</v>
      </c>
      <c r="E283">
        <v>282</v>
      </c>
      <c r="H283">
        <v>12019</v>
      </c>
      <c r="I283">
        <v>4</v>
      </c>
      <c r="J283" t="s">
        <v>25</v>
      </c>
      <c r="K283">
        <v>75000</v>
      </c>
      <c r="L283" t="s">
        <v>30</v>
      </c>
      <c r="M283">
        <v>15</v>
      </c>
      <c r="N283">
        <v>1219</v>
      </c>
      <c r="O283">
        <v>12</v>
      </c>
      <c r="P283">
        <v>19</v>
      </c>
      <c r="Q283">
        <v>39</v>
      </c>
      <c r="R283">
        <v>19.3</v>
      </c>
      <c r="S283">
        <v>1677</v>
      </c>
      <c r="T283">
        <v>2172</v>
      </c>
      <c r="U283" s="1">
        <v>45494</v>
      </c>
      <c r="V283" s="1">
        <v>45534</v>
      </c>
      <c r="W283">
        <v>124924</v>
      </c>
      <c r="X283">
        <v>0.95535714299999996</v>
      </c>
      <c r="Y283">
        <v>2642.7761839999998</v>
      </c>
      <c r="Z283">
        <f t="shared" si="13"/>
        <v>1.0026785714999999</v>
      </c>
      <c r="AA283">
        <f t="shared" si="15"/>
        <v>2166.1976846186149</v>
      </c>
      <c r="AB283" cm="1">
        <f t="array" ref="AB283">_xlfn.IFS(X283&lt;0.6,T283,0.9&lt;X283,T283,X283,AA283)</f>
        <v>2172</v>
      </c>
      <c r="AC283">
        <v>0.984375</v>
      </c>
      <c r="AD283">
        <v>2422.2196439999998</v>
      </c>
      <c r="AE283">
        <v>2172</v>
      </c>
      <c r="AG283">
        <v>0</v>
      </c>
      <c r="AH283">
        <v>282</v>
      </c>
    </row>
    <row r="284" spans="1:34" x14ac:dyDescent="0.25">
      <c r="A284" t="s">
        <v>768</v>
      </c>
      <c r="B284" t="s">
        <v>1048</v>
      </c>
      <c r="D284" t="s">
        <v>770</v>
      </c>
      <c r="E284">
        <v>283</v>
      </c>
      <c r="H284">
        <v>13019</v>
      </c>
      <c r="I284">
        <v>4</v>
      </c>
      <c r="J284" t="s">
        <v>25</v>
      </c>
      <c r="K284">
        <v>75000</v>
      </c>
      <c r="L284" t="s">
        <v>42</v>
      </c>
      <c r="M284">
        <v>14</v>
      </c>
      <c r="N284">
        <v>1319</v>
      </c>
      <c r="O284">
        <v>13</v>
      </c>
      <c r="P284">
        <v>19</v>
      </c>
      <c r="Q284">
        <v>66</v>
      </c>
      <c r="R284">
        <v>17.8</v>
      </c>
      <c r="S284">
        <v>1092</v>
      </c>
      <c r="T284">
        <v>1440</v>
      </c>
      <c r="U284" s="1">
        <v>45494</v>
      </c>
      <c r="V284" s="1">
        <v>45532</v>
      </c>
      <c r="W284">
        <v>109360</v>
      </c>
      <c r="X284">
        <v>0.76785714299999996</v>
      </c>
      <c r="Y284">
        <v>2001.463058</v>
      </c>
      <c r="Z284">
        <f t="shared" si="13"/>
        <v>0.90892857149999995</v>
      </c>
      <c r="AA284">
        <f t="shared" si="15"/>
        <v>1584.282907537581</v>
      </c>
      <c r="AB284" cm="1">
        <f t="array" ref="AB284">_xlfn.IFS(X284&lt;0.6,T284,0.9&lt;X284,T284,X284,AA284)</f>
        <v>1584.282907537581</v>
      </c>
      <c r="AC284">
        <v>0.91874999999999996</v>
      </c>
      <c r="AD284">
        <v>1823.0542909999999</v>
      </c>
      <c r="AE284">
        <v>1823.0542909999999</v>
      </c>
      <c r="AG284">
        <v>0</v>
      </c>
      <c r="AH284">
        <v>283</v>
      </c>
    </row>
    <row r="285" spans="1:34" x14ac:dyDescent="0.25">
      <c r="A285" t="s">
        <v>768</v>
      </c>
      <c r="B285" t="s">
        <v>1049</v>
      </c>
      <c r="D285" t="s">
        <v>770</v>
      </c>
      <c r="E285">
        <v>284</v>
      </c>
      <c r="H285">
        <v>14019</v>
      </c>
      <c r="I285">
        <v>4</v>
      </c>
      <c r="J285" t="s">
        <v>25</v>
      </c>
      <c r="K285">
        <v>75000</v>
      </c>
      <c r="L285" t="s">
        <v>58</v>
      </c>
      <c r="M285">
        <v>9</v>
      </c>
      <c r="N285">
        <v>1419</v>
      </c>
      <c r="O285">
        <v>14</v>
      </c>
      <c r="P285">
        <v>19</v>
      </c>
      <c r="U285" s="1">
        <v>45493</v>
      </c>
      <c r="V285" s="1">
        <v>45528</v>
      </c>
      <c r="W285">
        <v>130315</v>
      </c>
      <c r="X285">
        <v>0.91055456199999996</v>
      </c>
      <c r="AG285">
        <v>0</v>
      </c>
      <c r="AH285">
        <v>284</v>
      </c>
    </row>
    <row r="286" spans="1:34" x14ac:dyDescent="0.25">
      <c r="A286" t="s">
        <v>768</v>
      </c>
      <c r="B286" t="s">
        <v>1050</v>
      </c>
      <c r="D286" t="s">
        <v>770</v>
      </c>
      <c r="E286">
        <v>285</v>
      </c>
      <c r="H286">
        <v>15019</v>
      </c>
      <c r="I286">
        <v>4</v>
      </c>
      <c r="J286" t="s">
        <v>25</v>
      </c>
      <c r="K286">
        <v>75000</v>
      </c>
      <c r="L286" t="s">
        <v>46</v>
      </c>
      <c r="M286">
        <v>5</v>
      </c>
      <c r="N286">
        <v>1519</v>
      </c>
      <c r="O286">
        <v>15</v>
      </c>
      <c r="P286">
        <v>19</v>
      </c>
      <c r="Q286">
        <v>27</v>
      </c>
      <c r="R286">
        <v>18.3</v>
      </c>
      <c r="S286">
        <v>905</v>
      </c>
      <c r="T286">
        <v>1186</v>
      </c>
      <c r="U286" s="1">
        <v>45497</v>
      </c>
      <c r="V286" s="1">
        <v>45534</v>
      </c>
      <c r="W286">
        <v>72005</v>
      </c>
      <c r="X286">
        <v>0.43789097399999999</v>
      </c>
      <c r="Y286">
        <v>2503.603916</v>
      </c>
      <c r="Z286">
        <f>1-((0.95-X286)*0.5)</f>
        <v>0.74394548699999996</v>
      </c>
      <c r="AA286">
        <f>T286/Z286</f>
        <v>1594.202829003787</v>
      </c>
      <c r="AB286" cm="1">
        <f t="array" ref="AB286">_xlfn.IFS(X286&lt;0.6,T286,0.9&lt;X286,T286,X286,AA286)</f>
        <v>1186</v>
      </c>
      <c r="AC286">
        <v>0.80326184099999998</v>
      </c>
      <c r="AD286">
        <v>2003.749487</v>
      </c>
      <c r="AE286">
        <v>1186</v>
      </c>
      <c r="AG286">
        <v>0</v>
      </c>
      <c r="AH286">
        <v>285</v>
      </c>
    </row>
    <row r="287" spans="1:34" x14ac:dyDescent="0.25">
      <c r="A287" t="s">
        <v>768</v>
      </c>
      <c r="B287" t="s">
        <v>1051</v>
      </c>
      <c r="D287" t="s">
        <v>770</v>
      </c>
      <c r="E287">
        <v>286</v>
      </c>
      <c r="H287">
        <v>15020</v>
      </c>
      <c r="I287">
        <v>4</v>
      </c>
      <c r="J287" t="s">
        <v>25</v>
      </c>
      <c r="K287">
        <v>100000</v>
      </c>
      <c r="L287" t="s">
        <v>50</v>
      </c>
      <c r="M287">
        <v>19</v>
      </c>
      <c r="N287">
        <v>1520</v>
      </c>
      <c r="O287">
        <v>15</v>
      </c>
      <c r="P287">
        <v>20</v>
      </c>
      <c r="Q287">
        <v>76</v>
      </c>
      <c r="R287">
        <v>19.399999999999999</v>
      </c>
      <c r="S287">
        <v>561</v>
      </c>
      <c r="T287">
        <v>726</v>
      </c>
      <c r="U287" s="1">
        <v>45497</v>
      </c>
      <c r="W287">
        <v>122196</v>
      </c>
      <c r="X287">
        <v>0.88908765700000003</v>
      </c>
      <c r="Y287">
        <v>903.06186779999996</v>
      </c>
      <c r="Z287">
        <f>1-((0.95-X287)*0.5)</f>
        <v>0.96954382849999998</v>
      </c>
      <c r="AA287">
        <f>T287/Z287</f>
        <v>748.80575654141251</v>
      </c>
      <c r="AB287" cm="1">
        <f t="array" ref="AB287">_xlfn.IFS(X287&lt;0.6,T287,0.9&lt;X287,T287,X287,AA287)</f>
        <v>748.80575654141251</v>
      </c>
      <c r="AC287">
        <v>0.96118068000000001</v>
      </c>
      <c r="AD287">
        <v>837.4164925</v>
      </c>
      <c r="AE287">
        <v>837.4164925</v>
      </c>
      <c r="AG287">
        <v>0</v>
      </c>
      <c r="AH287">
        <v>286</v>
      </c>
    </row>
    <row r="288" spans="1:34" x14ac:dyDescent="0.25">
      <c r="A288" t="s">
        <v>768</v>
      </c>
      <c r="B288" t="s">
        <v>1052</v>
      </c>
      <c r="D288" t="s">
        <v>770</v>
      </c>
      <c r="E288">
        <v>287</v>
      </c>
      <c r="H288">
        <v>14020</v>
      </c>
      <c r="I288">
        <v>4</v>
      </c>
      <c r="J288" t="s">
        <v>25</v>
      </c>
      <c r="K288">
        <v>100000</v>
      </c>
      <c r="L288" t="s">
        <v>54</v>
      </c>
      <c r="M288">
        <v>25</v>
      </c>
      <c r="N288">
        <v>1420</v>
      </c>
      <c r="O288">
        <v>14</v>
      </c>
      <c r="P288">
        <v>20</v>
      </c>
      <c r="U288" s="1">
        <v>45493</v>
      </c>
      <c r="V288" s="1">
        <v>45530</v>
      </c>
      <c r="W288">
        <v>125051</v>
      </c>
      <c r="X288">
        <v>0.95195729500000004</v>
      </c>
      <c r="AG288">
        <v>0</v>
      </c>
      <c r="AH288">
        <v>287</v>
      </c>
    </row>
    <row r="289" spans="1:34" x14ac:dyDescent="0.25">
      <c r="A289" t="s">
        <v>768</v>
      </c>
      <c r="B289" t="s">
        <v>1053</v>
      </c>
      <c r="D289" t="s">
        <v>770</v>
      </c>
      <c r="E289">
        <v>288</v>
      </c>
      <c r="H289">
        <v>13020</v>
      </c>
      <c r="I289">
        <v>4</v>
      </c>
      <c r="J289" t="s">
        <v>25</v>
      </c>
      <c r="K289">
        <v>100000</v>
      </c>
      <c r="L289" t="s">
        <v>46</v>
      </c>
      <c r="M289">
        <v>20</v>
      </c>
      <c r="N289">
        <v>1320</v>
      </c>
      <c r="O289">
        <v>13</v>
      </c>
      <c r="P289">
        <v>20</v>
      </c>
      <c r="Q289">
        <v>28</v>
      </c>
      <c r="R289">
        <v>18.2</v>
      </c>
      <c r="S289">
        <v>1716</v>
      </c>
      <c r="T289">
        <v>2252</v>
      </c>
      <c r="U289" s="1">
        <v>45498</v>
      </c>
      <c r="V289" s="1">
        <v>45530</v>
      </c>
      <c r="W289">
        <v>125005</v>
      </c>
      <c r="X289">
        <v>0.96779964200000002</v>
      </c>
      <c r="Y289">
        <v>2738.3404820000001</v>
      </c>
      <c r="Z289">
        <f t="shared" ref="Z289:Z315" si="16">1-((0.95-X289)*0.5)</f>
        <v>1.008899821</v>
      </c>
      <c r="AA289">
        <f>T289/Z289</f>
        <v>2232.1344033621353</v>
      </c>
      <c r="AB289" cm="1">
        <f t="array" ref="AB289">_xlfn.IFS(X289&lt;0.6,T289,0.9&lt;X289,T289,X289,AA289)</f>
        <v>2252</v>
      </c>
      <c r="AC289">
        <v>0.98872987499999998</v>
      </c>
      <c r="AD289">
        <v>2499.6430420000002</v>
      </c>
      <c r="AE289">
        <v>2252</v>
      </c>
      <c r="AG289">
        <v>0</v>
      </c>
      <c r="AH289">
        <v>288</v>
      </c>
    </row>
    <row r="290" spans="1:34" x14ac:dyDescent="0.25">
      <c r="A290" t="s">
        <v>768</v>
      </c>
      <c r="B290" t="s">
        <v>1054</v>
      </c>
      <c r="D290" t="s">
        <v>770</v>
      </c>
      <c r="E290">
        <v>289</v>
      </c>
      <c r="H290">
        <v>12020</v>
      </c>
      <c r="I290">
        <v>4</v>
      </c>
      <c r="J290" t="s">
        <v>25</v>
      </c>
      <c r="K290">
        <v>100000</v>
      </c>
      <c r="L290" t="s">
        <v>66</v>
      </c>
      <c r="M290">
        <v>27</v>
      </c>
      <c r="N290">
        <v>1220</v>
      </c>
      <c r="O290">
        <v>12</v>
      </c>
      <c r="P290">
        <v>20</v>
      </c>
      <c r="Q290">
        <v>71</v>
      </c>
      <c r="R290">
        <v>18.5</v>
      </c>
      <c r="S290">
        <v>695</v>
      </c>
      <c r="T290">
        <v>909</v>
      </c>
      <c r="U290" s="1">
        <v>45494</v>
      </c>
      <c r="W290">
        <v>121064</v>
      </c>
      <c r="X290">
        <v>0.92850759599999999</v>
      </c>
      <c r="Y290">
        <v>1141.288153</v>
      </c>
      <c r="Z290">
        <f t="shared" si="16"/>
        <v>0.98925379800000002</v>
      </c>
      <c r="AA290">
        <f>T290/Z290</f>
        <v>918.87441002273511</v>
      </c>
      <c r="AB290" cm="1">
        <f t="array" ref="AB290">_xlfn.IFS(X290&lt;0.6,T290,0.9&lt;X290,T290,X290,AA290)</f>
        <v>909</v>
      </c>
      <c r="AC290">
        <v>0.974977659</v>
      </c>
      <c r="AD290">
        <v>1037.957621</v>
      </c>
      <c r="AE290">
        <v>909</v>
      </c>
      <c r="AG290">
        <v>0</v>
      </c>
      <c r="AH290">
        <v>289</v>
      </c>
    </row>
    <row r="291" spans="1:34" x14ac:dyDescent="0.25">
      <c r="A291" t="s">
        <v>768</v>
      </c>
      <c r="B291" t="s">
        <v>1055</v>
      </c>
      <c r="D291" t="s">
        <v>770</v>
      </c>
      <c r="E291">
        <v>290</v>
      </c>
      <c r="H291">
        <v>11020</v>
      </c>
      <c r="I291">
        <v>4</v>
      </c>
      <c r="J291" t="s">
        <v>25</v>
      </c>
      <c r="K291">
        <v>100000</v>
      </c>
      <c r="L291" t="s">
        <v>42</v>
      </c>
      <c r="M291">
        <v>29</v>
      </c>
      <c r="N291">
        <v>1120</v>
      </c>
      <c r="O291">
        <v>11</v>
      </c>
      <c r="P291">
        <v>20</v>
      </c>
      <c r="Q291">
        <v>46</v>
      </c>
      <c r="R291">
        <v>18.899999999999999</v>
      </c>
      <c r="S291">
        <v>1409</v>
      </c>
      <c r="T291">
        <v>1834</v>
      </c>
      <c r="U291" s="1">
        <v>45493</v>
      </c>
      <c r="V291" s="1">
        <v>45528</v>
      </c>
      <c r="W291">
        <v>120593</v>
      </c>
      <c r="X291">
        <v>0.92163846800000004</v>
      </c>
      <c r="Y291">
        <v>2311.658504</v>
      </c>
      <c r="Z291">
        <f t="shared" si="16"/>
        <v>0.98581923400000004</v>
      </c>
      <c r="AA291">
        <f>T291/Z291</f>
        <v>1860.381636660175</v>
      </c>
      <c r="AB291" cm="1">
        <f t="array" ref="AB291">_xlfn.IFS(X291&lt;0.6,T291,0.9&lt;X291,T291,X291,AA291)</f>
        <v>1834</v>
      </c>
      <c r="AC291">
        <v>0.972573464</v>
      </c>
      <c r="AD291">
        <v>2102.9893040000002</v>
      </c>
      <c r="AE291">
        <v>1834</v>
      </c>
      <c r="AG291">
        <v>0</v>
      </c>
      <c r="AH291">
        <v>290</v>
      </c>
    </row>
    <row r="292" spans="1:34" x14ac:dyDescent="0.25">
      <c r="A292" t="s">
        <v>768</v>
      </c>
      <c r="B292" t="s">
        <v>1056</v>
      </c>
      <c r="D292" t="s">
        <v>770</v>
      </c>
      <c r="E292">
        <v>291</v>
      </c>
      <c r="H292">
        <v>10020</v>
      </c>
      <c r="I292">
        <v>4</v>
      </c>
      <c r="J292" t="s">
        <v>25</v>
      </c>
      <c r="K292">
        <v>100000</v>
      </c>
      <c r="L292" t="s">
        <v>38</v>
      </c>
      <c r="M292">
        <v>18</v>
      </c>
      <c r="N292">
        <v>1020</v>
      </c>
      <c r="O292">
        <v>10</v>
      </c>
      <c r="P292">
        <v>20</v>
      </c>
      <c r="Q292">
        <v>44</v>
      </c>
      <c r="R292">
        <v>19.5</v>
      </c>
      <c r="S292">
        <v>1870</v>
      </c>
      <c r="T292">
        <v>2416</v>
      </c>
      <c r="U292" s="1">
        <v>45497</v>
      </c>
      <c r="V292" s="1">
        <v>45534</v>
      </c>
      <c r="W292">
        <v>107395</v>
      </c>
      <c r="X292">
        <v>0.83586083899999997</v>
      </c>
      <c r="Y292">
        <v>3419.4740539999998</v>
      </c>
      <c r="Z292">
        <f t="shared" si="16"/>
        <v>0.94293041950000001</v>
      </c>
      <c r="AA292">
        <f>T292/Z292</f>
        <v>2562.2251123058609</v>
      </c>
      <c r="AB292" cm="1">
        <f t="array" ref="AB292">_xlfn.IFS(X292&lt;0.6,T292,0.9&lt;X292,T292,X292,AA292)</f>
        <v>2562.2251123058609</v>
      </c>
      <c r="AC292">
        <v>0.94255129400000004</v>
      </c>
      <c r="AD292">
        <v>3004.0357880000001</v>
      </c>
      <c r="AE292">
        <v>3004.0357880000001</v>
      </c>
      <c r="AG292">
        <v>0</v>
      </c>
      <c r="AH292">
        <v>291</v>
      </c>
    </row>
    <row r="293" spans="1:34" x14ac:dyDescent="0.25">
      <c r="A293" t="s">
        <v>768</v>
      </c>
      <c r="B293" t="s">
        <v>1057</v>
      </c>
      <c r="D293" t="s">
        <v>770</v>
      </c>
      <c r="E293">
        <v>292</v>
      </c>
      <c r="H293">
        <v>9020</v>
      </c>
      <c r="I293">
        <v>4</v>
      </c>
      <c r="J293" t="s">
        <v>25</v>
      </c>
      <c r="K293">
        <v>100000</v>
      </c>
      <c r="L293" t="s">
        <v>74</v>
      </c>
      <c r="M293">
        <v>16</v>
      </c>
      <c r="N293">
        <v>920</v>
      </c>
      <c r="O293">
        <v>9</v>
      </c>
      <c r="P293">
        <v>20</v>
      </c>
      <c r="U293" s="1">
        <v>45499</v>
      </c>
      <c r="V293" s="1">
        <v>45538</v>
      </c>
      <c r="W293">
        <v>113640</v>
      </c>
      <c r="X293">
        <v>0.86631016000000005</v>
      </c>
      <c r="Z293">
        <f t="shared" si="16"/>
        <v>0.95815508000000005</v>
      </c>
      <c r="AG293">
        <v>0</v>
      </c>
      <c r="AH293">
        <v>292</v>
      </c>
    </row>
    <row r="294" spans="1:34" x14ac:dyDescent="0.25">
      <c r="A294" t="s">
        <v>768</v>
      </c>
      <c r="B294" t="s">
        <v>1058</v>
      </c>
      <c r="D294" t="s">
        <v>770</v>
      </c>
      <c r="E294">
        <v>293</v>
      </c>
      <c r="H294">
        <v>8020</v>
      </c>
      <c r="I294">
        <v>4</v>
      </c>
      <c r="J294" t="s">
        <v>25</v>
      </c>
      <c r="K294">
        <v>100000</v>
      </c>
      <c r="L294" t="s">
        <v>30</v>
      </c>
      <c r="M294">
        <v>30</v>
      </c>
      <c r="N294">
        <v>820</v>
      </c>
      <c r="O294">
        <v>8</v>
      </c>
      <c r="P294">
        <v>20</v>
      </c>
      <c r="Q294">
        <v>41</v>
      </c>
      <c r="R294">
        <v>19.100000000000001</v>
      </c>
      <c r="S294">
        <v>1350</v>
      </c>
      <c r="T294">
        <v>1752</v>
      </c>
      <c r="U294" s="1">
        <v>45497</v>
      </c>
      <c r="V294" s="1">
        <v>45534</v>
      </c>
      <c r="W294">
        <v>113325</v>
      </c>
      <c r="X294">
        <v>0.86684539800000004</v>
      </c>
      <c r="Y294">
        <v>2349.9294239999999</v>
      </c>
      <c r="Z294">
        <f t="shared" si="16"/>
        <v>0.95842269899999999</v>
      </c>
      <c r="AA294">
        <f t="shared" ref="AA294:AA306" si="17">T294/Z294</f>
        <v>1828.0034496553592</v>
      </c>
      <c r="AB294" cm="1">
        <f t="array" ref="AB294">_xlfn.IFS(X294&lt;0.6,T294,0.9&lt;X294,T294,X294,AA294)</f>
        <v>1828.0034496553592</v>
      </c>
      <c r="AC294">
        <v>0.95339588900000005</v>
      </c>
      <c r="AD294">
        <v>2105.5107240000002</v>
      </c>
      <c r="AE294">
        <v>2105.5107240000002</v>
      </c>
      <c r="AG294">
        <v>0</v>
      </c>
      <c r="AH294">
        <v>293</v>
      </c>
    </row>
    <row r="295" spans="1:34" x14ac:dyDescent="0.25">
      <c r="A295" t="s">
        <v>768</v>
      </c>
      <c r="B295" t="s">
        <v>1059</v>
      </c>
      <c r="D295" t="s">
        <v>770</v>
      </c>
      <c r="E295">
        <v>294</v>
      </c>
      <c r="H295">
        <v>7020</v>
      </c>
      <c r="I295">
        <v>4</v>
      </c>
      <c r="J295" t="s">
        <v>25</v>
      </c>
      <c r="K295">
        <v>100000</v>
      </c>
      <c r="L295" t="s">
        <v>26</v>
      </c>
      <c r="M295">
        <v>23</v>
      </c>
      <c r="N295">
        <v>720</v>
      </c>
      <c r="O295">
        <v>7</v>
      </c>
      <c r="P295">
        <v>20</v>
      </c>
      <c r="Q295">
        <v>31</v>
      </c>
      <c r="R295">
        <v>17.7</v>
      </c>
      <c r="S295">
        <v>1480</v>
      </c>
      <c r="T295">
        <v>1954</v>
      </c>
      <c r="U295" s="1">
        <v>45498</v>
      </c>
      <c r="V295" s="1">
        <v>45534</v>
      </c>
      <c r="W295">
        <v>122306</v>
      </c>
      <c r="X295">
        <v>0.91413237899999999</v>
      </c>
      <c r="Y295">
        <v>2428.4168719999998</v>
      </c>
      <c r="Z295">
        <f t="shared" si="16"/>
        <v>0.98206618950000002</v>
      </c>
      <c r="AA295">
        <f t="shared" si="17"/>
        <v>1989.6825905337819</v>
      </c>
      <c r="AB295" cm="1">
        <f t="array" ref="AB295">_xlfn.IFS(X295&lt;0.6,T295,0.9&lt;X295,T295,X295,AA295)</f>
        <v>1954</v>
      </c>
      <c r="AC295">
        <v>0.96994633299999999</v>
      </c>
      <c r="AD295">
        <v>2232.6281920000001</v>
      </c>
      <c r="AE295">
        <v>1954</v>
      </c>
      <c r="AG295">
        <v>0</v>
      </c>
      <c r="AH295">
        <v>294</v>
      </c>
    </row>
    <row r="296" spans="1:34" x14ac:dyDescent="0.25">
      <c r="A296" t="s">
        <v>768</v>
      </c>
      <c r="B296" t="s">
        <v>1060</v>
      </c>
      <c r="D296" t="s">
        <v>770</v>
      </c>
      <c r="E296">
        <v>295</v>
      </c>
      <c r="H296">
        <v>6020</v>
      </c>
      <c r="I296">
        <v>4</v>
      </c>
      <c r="J296" t="s">
        <v>25</v>
      </c>
      <c r="K296">
        <v>100000</v>
      </c>
      <c r="L296" t="s">
        <v>58</v>
      </c>
      <c r="M296">
        <v>24</v>
      </c>
      <c r="N296">
        <v>620</v>
      </c>
      <c r="O296">
        <v>6</v>
      </c>
      <c r="P296">
        <v>20</v>
      </c>
      <c r="Q296">
        <v>67</v>
      </c>
      <c r="R296">
        <v>20.6</v>
      </c>
      <c r="S296">
        <v>479</v>
      </c>
      <c r="T296">
        <v>610</v>
      </c>
      <c r="U296" s="1">
        <v>45489</v>
      </c>
      <c r="V296" s="1">
        <v>45523</v>
      </c>
      <c r="W296">
        <v>124466</v>
      </c>
      <c r="X296">
        <v>0.96690518800000003</v>
      </c>
      <c r="Y296">
        <v>744.93749300000002</v>
      </c>
      <c r="Z296">
        <f t="shared" si="16"/>
        <v>1.008452594</v>
      </c>
      <c r="AA296">
        <f t="shared" si="17"/>
        <v>604.88713463510612</v>
      </c>
      <c r="AB296" cm="1">
        <f t="array" ref="AB296">_xlfn.IFS(X296&lt;0.6,T296,0.9&lt;X296,T296,X296,AA296)</f>
        <v>610</v>
      </c>
      <c r="AC296">
        <v>0.98841681599999998</v>
      </c>
      <c r="AD296">
        <v>678.61003559999995</v>
      </c>
      <c r="AE296">
        <v>610</v>
      </c>
      <c r="AG296">
        <v>0</v>
      </c>
      <c r="AH296">
        <v>295</v>
      </c>
    </row>
    <row r="297" spans="1:34" x14ac:dyDescent="0.25">
      <c r="A297" t="s">
        <v>768</v>
      </c>
      <c r="B297" t="s">
        <v>1061</v>
      </c>
      <c r="D297" t="s">
        <v>770</v>
      </c>
      <c r="E297">
        <v>296</v>
      </c>
      <c r="H297">
        <v>5020</v>
      </c>
      <c r="I297">
        <v>4</v>
      </c>
      <c r="J297" t="s">
        <v>25</v>
      </c>
      <c r="K297">
        <v>100000</v>
      </c>
      <c r="L297" t="s">
        <v>80</v>
      </c>
      <c r="M297">
        <v>17</v>
      </c>
      <c r="N297">
        <v>520</v>
      </c>
      <c r="O297">
        <v>5</v>
      </c>
      <c r="P297">
        <v>20</v>
      </c>
      <c r="Q297">
        <v>26</v>
      </c>
      <c r="R297">
        <v>18</v>
      </c>
      <c r="S297">
        <v>1756</v>
      </c>
      <c r="T297">
        <v>2311</v>
      </c>
      <c r="U297" s="1">
        <v>45498</v>
      </c>
      <c r="V297" s="1">
        <v>45535</v>
      </c>
      <c r="W297">
        <v>125535</v>
      </c>
      <c r="X297">
        <v>0.936436885</v>
      </c>
      <c r="Y297">
        <v>2798.2181139999998</v>
      </c>
      <c r="Z297">
        <f t="shared" si="16"/>
        <v>0.99321844250000002</v>
      </c>
      <c r="AA297">
        <f t="shared" si="17"/>
        <v>2326.7791868453951</v>
      </c>
      <c r="AB297" cm="1">
        <f t="array" ref="AB297">_xlfn.IFS(X297&lt;0.6,T297,0.9&lt;X297,T297,X297,AA297)</f>
        <v>2311</v>
      </c>
      <c r="AC297">
        <v>0.97775290999999998</v>
      </c>
      <c r="AD297">
        <v>2588.975524</v>
      </c>
      <c r="AE297">
        <v>2311</v>
      </c>
      <c r="AG297">
        <v>0</v>
      </c>
      <c r="AH297">
        <v>296</v>
      </c>
    </row>
    <row r="298" spans="1:34" x14ac:dyDescent="0.25">
      <c r="A298" t="s">
        <v>768</v>
      </c>
      <c r="B298" t="s">
        <v>1062</v>
      </c>
      <c r="D298" t="s">
        <v>770</v>
      </c>
      <c r="E298">
        <v>297</v>
      </c>
      <c r="H298">
        <v>4020</v>
      </c>
      <c r="I298">
        <v>4</v>
      </c>
      <c r="J298" t="s">
        <v>25</v>
      </c>
      <c r="K298">
        <v>100000</v>
      </c>
      <c r="L298" t="s">
        <v>34</v>
      </c>
      <c r="M298">
        <v>26</v>
      </c>
      <c r="N298">
        <v>420</v>
      </c>
      <c r="O298">
        <v>4</v>
      </c>
      <c r="P298">
        <v>20</v>
      </c>
      <c r="Q298">
        <v>48</v>
      </c>
      <c r="R298">
        <v>20</v>
      </c>
      <c r="S298">
        <v>305</v>
      </c>
      <c r="T298">
        <v>392</v>
      </c>
      <c r="U298" s="1">
        <v>45491</v>
      </c>
      <c r="V298" s="1">
        <v>45524</v>
      </c>
      <c r="W298">
        <v>125273</v>
      </c>
      <c r="X298">
        <v>0.98039215700000004</v>
      </c>
      <c r="Y298">
        <v>475.63634619999999</v>
      </c>
      <c r="Z298">
        <f t="shared" si="16"/>
        <v>1.0151960785</v>
      </c>
      <c r="AA298">
        <f t="shared" si="17"/>
        <v>386.13230320904944</v>
      </c>
      <c r="AB298" cm="1">
        <f t="array" ref="AB298">_xlfn.IFS(X298&lt;0.6,T298,0.9&lt;X298,T298,X298,AA298)</f>
        <v>392</v>
      </c>
      <c r="AC298">
        <v>0.99313725500000005</v>
      </c>
      <c r="AD298">
        <v>432.75698510000001</v>
      </c>
      <c r="AE298">
        <v>392</v>
      </c>
      <c r="AG298">
        <v>0</v>
      </c>
      <c r="AH298">
        <v>297</v>
      </c>
    </row>
    <row r="299" spans="1:34" x14ac:dyDescent="0.25">
      <c r="A299" t="s">
        <v>768</v>
      </c>
      <c r="B299" t="s">
        <v>1063</v>
      </c>
      <c r="D299" t="s">
        <v>770</v>
      </c>
      <c r="E299">
        <v>298</v>
      </c>
      <c r="H299">
        <v>3020</v>
      </c>
      <c r="I299">
        <v>4</v>
      </c>
      <c r="J299" t="s">
        <v>25</v>
      </c>
      <c r="K299">
        <v>100000</v>
      </c>
      <c r="L299" t="s">
        <v>78</v>
      </c>
      <c r="M299">
        <v>21</v>
      </c>
      <c r="N299">
        <v>320</v>
      </c>
      <c r="O299">
        <v>3</v>
      </c>
      <c r="P299">
        <v>20</v>
      </c>
      <c r="Q299">
        <v>53</v>
      </c>
      <c r="R299">
        <v>18.7</v>
      </c>
      <c r="S299">
        <v>387</v>
      </c>
      <c r="T299">
        <v>505</v>
      </c>
      <c r="U299" s="1">
        <v>45493</v>
      </c>
      <c r="V299" s="1">
        <v>45524</v>
      </c>
      <c r="W299">
        <v>118764</v>
      </c>
      <c r="X299">
        <v>0.91889483100000002</v>
      </c>
      <c r="Y299">
        <v>646.32805399999995</v>
      </c>
      <c r="Z299">
        <f t="shared" si="16"/>
        <v>0.98444741550000003</v>
      </c>
      <c r="AA299">
        <f t="shared" si="17"/>
        <v>512.97813580374009</v>
      </c>
      <c r="AB299" cm="1">
        <f t="array" ref="AB299">_xlfn.IFS(X299&lt;0.6,T299,0.9&lt;X299,T299,X299,AA299)</f>
        <v>505</v>
      </c>
      <c r="AC299">
        <v>0.97161319099999999</v>
      </c>
      <c r="AD299">
        <v>583.55513010000004</v>
      </c>
      <c r="AE299">
        <v>505</v>
      </c>
      <c r="AG299">
        <v>0</v>
      </c>
      <c r="AH299">
        <v>298</v>
      </c>
    </row>
    <row r="300" spans="1:34" x14ac:dyDescent="0.25">
      <c r="A300" t="s">
        <v>768</v>
      </c>
      <c r="B300" t="s">
        <v>1064</v>
      </c>
      <c r="D300" t="s">
        <v>770</v>
      </c>
      <c r="E300">
        <v>299</v>
      </c>
      <c r="H300">
        <v>2020</v>
      </c>
      <c r="I300">
        <v>4</v>
      </c>
      <c r="J300" t="s">
        <v>25</v>
      </c>
      <c r="K300">
        <v>100000</v>
      </c>
      <c r="L300" t="s">
        <v>70</v>
      </c>
      <c r="M300">
        <v>22</v>
      </c>
      <c r="N300">
        <v>220</v>
      </c>
      <c r="O300">
        <v>2</v>
      </c>
      <c r="P300">
        <v>20</v>
      </c>
      <c r="Q300">
        <v>44</v>
      </c>
      <c r="R300">
        <v>18.2</v>
      </c>
      <c r="S300">
        <v>873</v>
      </c>
      <c r="T300">
        <v>1146</v>
      </c>
      <c r="U300" s="1">
        <v>45497</v>
      </c>
      <c r="V300" s="1">
        <v>45531</v>
      </c>
      <c r="W300">
        <v>119679</v>
      </c>
      <c r="X300">
        <v>0.84772929699999999</v>
      </c>
      <c r="Y300">
        <v>1455.4742940000001</v>
      </c>
      <c r="Z300">
        <f t="shared" si="16"/>
        <v>0.94886464850000007</v>
      </c>
      <c r="AA300">
        <f t="shared" si="17"/>
        <v>1207.7591907461604</v>
      </c>
      <c r="AB300" cm="1">
        <f t="array" ref="AB300">_xlfn.IFS(X300&lt;0.6,T300,0.9&lt;X300,T300,X300,AA300)</f>
        <v>1207.7591907461604</v>
      </c>
      <c r="AC300">
        <v>0.94670525400000005</v>
      </c>
      <c r="AD300">
        <v>1354.518143</v>
      </c>
      <c r="AE300">
        <v>1354.518143</v>
      </c>
      <c r="AG300">
        <v>0</v>
      </c>
      <c r="AH300">
        <v>299</v>
      </c>
    </row>
    <row r="301" spans="1:34" x14ac:dyDescent="0.25">
      <c r="A301" t="s">
        <v>768</v>
      </c>
      <c r="B301" t="s">
        <v>1065</v>
      </c>
      <c r="D301" t="s">
        <v>770</v>
      </c>
      <c r="E301">
        <v>300</v>
      </c>
      <c r="H301">
        <v>1020</v>
      </c>
      <c r="I301">
        <v>4</v>
      </c>
      <c r="J301" t="s">
        <v>25</v>
      </c>
      <c r="K301">
        <v>100000</v>
      </c>
      <c r="L301" t="s">
        <v>62</v>
      </c>
      <c r="M301">
        <v>28</v>
      </c>
      <c r="N301">
        <v>120</v>
      </c>
      <c r="O301">
        <v>1</v>
      </c>
      <c r="P301">
        <v>20</v>
      </c>
      <c r="Q301">
        <v>27</v>
      </c>
      <c r="R301">
        <v>18.399999999999999</v>
      </c>
      <c r="S301">
        <v>1182</v>
      </c>
      <c r="T301">
        <v>1548</v>
      </c>
      <c r="U301" s="1">
        <v>45495</v>
      </c>
      <c r="V301" s="1">
        <v>45534</v>
      </c>
      <c r="W301">
        <v>119975</v>
      </c>
      <c r="X301">
        <v>0.92424242400000001</v>
      </c>
      <c r="Y301">
        <v>1961.1827800000001</v>
      </c>
      <c r="Z301">
        <f t="shared" si="16"/>
        <v>0.98712121200000003</v>
      </c>
      <c r="AA301">
        <f t="shared" si="17"/>
        <v>1568.1964698779059</v>
      </c>
      <c r="AB301" cm="1">
        <f t="array" ref="AB301">_xlfn.IFS(X301&lt;0.6,T301,0.9&lt;X301,T301,X301,AA301)</f>
        <v>1548</v>
      </c>
      <c r="AC301">
        <v>0.97348484800000001</v>
      </c>
      <c r="AD301">
        <v>1777.3945220000001</v>
      </c>
      <c r="AE301">
        <v>1548</v>
      </c>
      <c r="AG301">
        <v>0</v>
      </c>
      <c r="AH301">
        <v>300</v>
      </c>
    </row>
    <row r="302" spans="1:34" x14ac:dyDescent="0.25">
      <c r="A302" t="s">
        <v>768</v>
      </c>
      <c r="B302" t="s">
        <v>1066</v>
      </c>
      <c r="D302" t="s">
        <v>770</v>
      </c>
      <c r="E302">
        <v>301</v>
      </c>
      <c r="H302">
        <v>1021</v>
      </c>
      <c r="I302">
        <v>4</v>
      </c>
      <c r="J302" t="s">
        <v>25</v>
      </c>
      <c r="K302">
        <v>150000</v>
      </c>
      <c r="L302" t="s">
        <v>26</v>
      </c>
      <c r="M302">
        <v>38</v>
      </c>
      <c r="N302">
        <v>121</v>
      </c>
      <c r="O302">
        <v>1</v>
      </c>
      <c r="P302">
        <v>21</v>
      </c>
      <c r="Q302">
        <v>26</v>
      </c>
      <c r="R302">
        <v>18</v>
      </c>
      <c r="S302">
        <v>949</v>
      </c>
      <c r="T302">
        <v>1249</v>
      </c>
      <c r="U302" s="1">
        <v>45495</v>
      </c>
      <c r="V302" s="1">
        <v>45530</v>
      </c>
      <c r="W302">
        <v>119654</v>
      </c>
      <c r="X302">
        <v>0.92844364899999998</v>
      </c>
      <c r="Y302">
        <v>1586.6519209999999</v>
      </c>
      <c r="Z302">
        <f t="shared" si="16"/>
        <v>0.98922182449999996</v>
      </c>
      <c r="AA302">
        <f t="shared" si="17"/>
        <v>1262.6086172646912</v>
      </c>
      <c r="AB302" cm="1">
        <f t="array" ref="AB302">_xlfn.IFS(X302&lt;0.6,T302,0.9&lt;X302,T302,X302,AA302)</f>
        <v>1249</v>
      </c>
      <c r="AC302">
        <v>0.97495527699999995</v>
      </c>
      <c r="AD302">
        <v>1433.6280240000001</v>
      </c>
      <c r="AE302">
        <v>1249</v>
      </c>
      <c r="AG302">
        <v>0</v>
      </c>
      <c r="AH302">
        <v>301</v>
      </c>
    </row>
    <row r="303" spans="1:34" x14ac:dyDescent="0.25">
      <c r="A303" t="s">
        <v>768</v>
      </c>
      <c r="B303" t="s">
        <v>1067</v>
      </c>
      <c r="D303" t="s">
        <v>770</v>
      </c>
      <c r="E303">
        <v>302</v>
      </c>
      <c r="H303">
        <v>2021</v>
      </c>
      <c r="I303">
        <v>4</v>
      </c>
      <c r="J303" t="s">
        <v>25</v>
      </c>
      <c r="K303">
        <v>150000</v>
      </c>
      <c r="L303" t="s">
        <v>66</v>
      </c>
      <c r="M303">
        <v>42</v>
      </c>
      <c r="N303">
        <v>221</v>
      </c>
      <c r="O303">
        <v>2</v>
      </c>
      <c r="P303">
        <v>21</v>
      </c>
      <c r="Q303">
        <v>69</v>
      </c>
      <c r="R303">
        <v>20</v>
      </c>
      <c r="S303">
        <v>252</v>
      </c>
      <c r="T303">
        <v>323</v>
      </c>
      <c r="U303" s="1">
        <v>45498</v>
      </c>
      <c r="V303" s="1">
        <v>45537</v>
      </c>
      <c r="W303">
        <v>127166</v>
      </c>
      <c r="X303">
        <v>0.93917710200000004</v>
      </c>
      <c r="Y303">
        <v>386.07549970000002</v>
      </c>
      <c r="Z303">
        <f t="shared" si="16"/>
        <v>0.9945885510000001</v>
      </c>
      <c r="AA303">
        <f t="shared" si="17"/>
        <v>324.75740815158446</v>
      </c>
      <c r="AB303" cm="1">
        <f t="array" ref="AB303">_xlfn.IFS(X303&lt;0.6,T303,0.9&lt;X303,T303,X303,AA303)</f>
        <v>323</v>
      </c>
      <c r="AC303">
        <v>0.97871198599999998</v>
      </c>
      <c r="AD303">
        <v>359.3828709</v>
      </c>
      <c r="AE303">
        <v>323</v>
      </c>
      <c r="AG303">
        <v>0</v>
      </c>
      <c r="AH303">
        <v>302</v>
      </c>
    </row>
    <row r="304" spans="1:34" x14ac:dyDescent="0.25">
      <c r="A304" t="s">
        <v>768</v>
      </c>
      <c r="B304" t="s">
        <v>1068</v>
      </c>
      <c r="D304" t="s">
        <v>770</v>
      </c>
      <c r="E304">
        <v>303</v>
      </c>
      <c r="H304">
        <v>3021</v>
      </c>
      <c r="I304">
        <v>4</v>
      </c>
      <c r="J304" t="s">
        <v>25</v>
      </c>
      <c r="K304">
        <v>150000</v>
      </c>
      <c r="L304" t="s">
        <v>46</v>
      </c>
      <c r="M304">
        <v>35</v>
      </c>
      <c r="N304">
        <v>321</v>
      </c>
      <c r="O304">
        <v>3</v>
      </c>
      <c r="P304">
        <v>21</v>
      </c>
      <c r="Q304">
        <v>44</v>
      </c>
      <c r="R304">
        <v>17.3</v>
      </c>
      <c r="S304">
        <v>1162</v>
      </c>
      <c r="T304">
        <v>1542</v>
      </c>
      <c r="U304" s="1">
        <v>45496</v>
      </c>
      <c r="V304" s="1">
        <v>45527</v>
      </c>
      <c r="W304">
        <v>128625</v>
      </c>
      <c r="X304">
        <v>0.95885509800000002</v>
      </c>
      <c r="Y304">
        <v>1822.2034289999999</v>
      </c>
      <c r="Z304">
        <f t="shared" si="16"/>
        <v>1.0044275490000001</v>
      </c>
      <c r="AA304">
        <f t="shared" si="17"/>
        <v>1535.2028143146838</v>
      </c>
      <c r="AB304" cm="1">
        <f t="array" ref="AB304">_xlfn.IFS(X304&lt;0.6,T304,0.9&lt;X304,T304,X304,AA304)</f>
        <v>1542</v>
      </c>
      <c r="AC304">
        <v>0.98559928399999996</v>
      </c>
      <c r="AD304">
        <v>1694.83959</v>
      </c>
      <c r="AE304">
        <v>1542</v>
      </c>
      <c r="AG304">
        <v>0</v>
      </c>
      <c r="AH304">
        <v>303</v>
      </c>
    </row>
    <row r="305" spans="1:34" x14ac:dyDescent="0.25">
      <c r="A305" t="s">
        <v>768</v>
      </c>
      <c r="B305" t="s">
        <v>1069</v>
      </c>
      <c r="D305" t="s">
        <v>770</v>
      </c>
      <c r="E305">
        <v>304</v>
      </c>
      <c r="H305">
        <v>4021</v>
      </c>
      <c r="I305">
        <v>4</v>
      </c>
      <c r="J305" t="s">
        <v>25</v>
      </c>
      <c r="K305">
        <v>150000</v>
      </c>
      <c r="L305" t="s">
        <v>80</v>
      </c>
      <c r="M305">
        <v>32</v>
      </c>
      <c r="N305">
        <v>421</v>
      </c>
      <c r="O305">
        <v>4</v>
      </c>
      <c r="P305">
        <v>21</v>
      </c>
      <c r="Q305">
        <v>40</v>
      </c>
      <c r="R305">
        <v>17.3</v>
      </c>
      <c r="S305">
        <v>1875</v>
      </c>
      <c r="T305">
        <v>2488</v>
      </c>
      <c r="U305" s="1">
        <v>45496</v>
      </c>
      <c r="V305" s="1">
        <v>45533</v>
      </c>
      <c r="W305">
        <v>127438</v>
      </c>
      <c r="X305">
        <v>0.96961572799999995</v>
      </c>
      <c r="Y305">
        <v>2967.5293080000001</v>
      </c>
      <c r="Z305">
        <f t="shared" si="16"/>
        <v>1.0098078639999999</v>
      </c>
      <c r="AA305">
        <f t="shared" si="17"/>
        <v>2463.8350409994432</v>
      </c>
      <c r="AB305" cm="1">
        <f t="array" ref="AB305">_xlfn.IFS(X305&lt;0.6,T305,0.9&lt;X305,T305,X305,AA305)</f>
        <v>2488</v>
      </c>
      <c r="AC305">
        <v>0.98936550499999998</v>
      </c>
      <c r="AD305">
        <v>2735.7835329999998</v>
      </c>
      <c r="AE305">
        <v>2488</v>
      </c>
      <c r="AG305">
        <v>0</v>
      </c>
      <c r="AH305">
        <v>304</v>
      </c>
    </row>
    <row r="306" spans="1:34" x14ac:dyDescent="0.25">
      <c r="A306" t="s">
        <v>768</v>
      </c>
      <c r="B306" t="s">
        <v>1070</v>
      </c>
      <c r="D306" t="s">
        <v>770</v>
      </c>
      <c r="E306">
        <v>305</v>
      </c>
      <c r="H306">
        <v>5021</v>
      </c>
      <c r="I306">
        <v>4</v>
      </c>
      <c r="J306" t="s">
        <v>25</v>
      </c>
      <c r="K306">
        <v>150000</v>
      </c>
      <c r="L306" t="s">
        <v>70</v>
      </c>
      <c r="M306">
        <v>37</v>
      </c>
      <c r="N306">
        <v>521</v>
      </c>
      <c r="O306">
        <v>5</v>
      </c>
      <c r="P306">
        <v>21</v>
      </c>
      <c r="Q306">
        <v>40</v>
      </c>
      <c r="R306">
        <v>18.399999999999999</v>
      </c>
      <c r="S306">
        <v>1332</v>
      </c>
      <c r="T306">
        <v>1744</v>
      </c>
      <c r="U306" s="1">
        <v>45499</v>
      </c>
      <c r="V306" s="1">
        <v>45535</v>
      </c>
      <c r="W306">
        <v>123300</v>
      </c>
      <c r="X306">
        <v>0.84861976800000005</v>
      </c>
      <c r="Y306">
        <v>2149.9573719999999</v>
      </c>
      <c r="Z306">
        <f t="shared" si="16"/>
        <v>0.94930988400000005</v>
      </c>
      <c r="AA306">
        <f t="shared" si="17"/>
        <v>1837.1240301970772</v>
      </c>
      <c r="AB306" cm="1">
        <f t="array" ref="AB306">_xlfn.IFS(X306&lt;0.6,T306,0.9&lt;X306,T306,X306,AA306)</f>
        <v>1837.1240301970772</v>
      </c>
      <c r="AC306">
        <v>0.94701691899999996</v>
      </c>
      <c r="AD306">
        <v>2033.5618910000001</v>
      </c>
      <c r="AE306">
        <v>2033.5618910000001</v>
      </c>
      <c r="AG306">
        <v>0</v>
      </c>
      <c r="AH306">
        <v>305</v>
      </c>
    </row>
    <row r="307" spans="1:34" x14ac:dyDescent="0.25">
      <c r="A307" t="s">
        <v>768</v>
      </c>
      <c r="B307">
        <v>1268400927</v>
      </c>
      <c r="D307" t="s">
        <v>770</v>
      </c>
      <c r="E307">
        <v>306</v>
      </c>
      <c r="H307">
        <v>6021</v>
      </c>
      <c r="I307">
        <v>4</v>
      </c>
      <c r="J307" t="s">
        <v>25</v>
      </c>
      <c r="K307">
        <v>150000</v>
      </c>
      <c r="L307" t="s">
        <v>34</v>
      </c>
      <c r="M307">
        <v>41</v>
      </c>
      <c r="N307">
        <v>621</v>
      </c>
      <c r="O307">
        <v>6</v>
      </c>
      <c r="P307">
        <v>21</v>
      </c>
      <c r="U307" s="1">
        <v>45490</v>
      </c>
      <c r="V307" s="1">
        <v>45525</v>
      </c>
      <c r="W307">
        <v>123395</v>
      </c>
      <c r="X307">
        <v>0.88512911800000005</v>
      </c>
      <c r="Z307">
        <f t="shared" si="16"/>
        <v>0.96756455900000005</v>
      </c>
      <c r="AG307">
        <v>0</v>
      </c>
      <c r="AH307">
        <v>306</v>
      </c>
    </row>
    <row r="308" spans="1:34" x14ac:dyDescent="0.25">
      <c r="A308" t="s">
        <v>768</v>
      </c>
      <c r="B308" t="s">
        <v>1071</v>
      </c>
      <c r="D308" t="s">
        <v>770</v>
      </c>
      <c r="E308">
        <v>307</v>
      </c>
      <c r="H308">
        <v>7021</v>
      </c>
      <c r="I308">
        <v>4</v>
      </c>
      <c r="J308" t="s">
        <v>25</v>
      </c>
      <c r="K308">
        <v>150000</v>
      </c>
      <c r="L308" t="s">
        <v>38</v>
      </c>
      <c r="M308">
        <v>33</v>
      </c>
      <c r="N308">
        <v>721</v>
      </c>
      <c r="O308">
        <v>7</v>
      </c>
      <c r="P308">
        <v>21</v>
      </c>
      <c r="Q308">
        <v>40</v>
      </c>
      <c r="R308">
        <v>18.3</v>
      </c>
      <c r="S308">
        <v>2280</v>
      </c>
      <c r="T308">
        <v>2989</v>
      </c>
      <c r="U308" s="1">
        <v>45496</v>
      </c>
      <c r="V308" s="1">
        <v>45532</v>
      </c>
      <c r="W308">
        <v>130952</v>
      </c>
      <c r="X308">
        <v>0.95450490600000004</v>
      </c>
      <c r="Y308">
        <v>3469.4239109999999</v>
      </c>
      <c r="Z308">
        <f t="shared" si="16"/>
        <v>1.0022524530000001</v>
      </c>
      <c r="AA308">
        <f t="shared" ref="AA308:AA315" si="18">T308/Z308</f>
        <v>2982.2825487262735</v>
      </c>
      <c r="AB308" cm="1">
        <f t="array" ref="AB308">_xlfn.IFS(X308&lt;0.6,T308,0.9&lt;X308,T308,X308,AA308)</f>
        <v>2989</v>
      </c>
      <c r="AC308">
        <v>0.98407671699999999</v>
      </c>
      <c r="AD308">
        <v>3263.3058080000001</v>
      </c>
      <c r="AE308">
        <v>2989</v>
      </c>
      <c r="AG308">
        <v>0</v>
      </c>
      <c r="AH308">
        <v>307</v>
      </c>
    </row>
    <row r="309" spans="1:34" x14ac:dyDescent="0.25">
      <c r="A309" t="s">
        <v>768</v>
      </c>
      <c r="B309" t="s">
        <v>1072</v>
      </c>
      <c r="D309" t="s">
        <v>770</v>
      </c>
      <c r="E309">
        <v>308</v>
      </c>
      <c r="H309">
        <v>8021</v>
      </c>
      <c r="I309">
        <v>4</v>
      </c>
      <c r="J309" t="s">
        <v>25</v>
      </c>
      <c r="K309">
        <v>150000</v>
      </c>
      <c r="L309" t="s">
        <v>54</v>
      </c>
      <c r="M309">
        <v>40</v>
      </c>
      <c r="N309">
        <v>821</v>
      </c>
      <c r="O309">
        <v>8</v>
      </c>
      <c r="P309">
        <v>21</v>
      </c>
      <c r="Q309">
        <v>62</v>
      </c>
      <c r="R309">
        <v>21.7</v>
      </c>
      <c r="S309">
        <v>561</v>
      </c>
      <c r="T309">
        <v>705</v>
      </c>
      <c r="U309" s="1">
        <v>45492</v>
      </c>
      <c r="V309" s="1">
        <v>45527</v>
      </c>
      <c r="W309">
        <v>133785</v>
      </c>
      <c r="X309">
        <v>0.95008912700000003</v>
      </c>
      <c r="Y309">
        <v>800.97084870000003</v>
      </c>
      <c r="Z309">
        <f t="shared" si="16"/>
        <v>1.0000445634999999</v>
      </c>
      <c r="AA309">
        <f t="shared" si="18"/>
        <v>704.96858413250106</v>
      </c>
      <c r="AB309" cm="1">
        <f t="array" ref="AB309">_xlfn.IFS(X309&lt;0.6,T309,0.9&lt;X309,T309,X309,AA309)</f>
        <v>705</v>
      </c>
      <c r="AC309">
        <v>0.982531194</v>
      </c>
      <c r="AD309">
        <v>763.26071509999997</v>
      </c>
      <c r="AE309">
        <v>705</v>
      </c>
      <c r="AG309">
        <v>0</v>
      </c>
      <c r="AH309">
        <v>308</v>
      </c>
    </row>
    <row r="310" spans="1:34" x14ac:dyDescent="0.25">
      <c r="A310" t="s">
        <v>768</v>
      </c>
      <c r="B310" t="s">
        <v>1073</v>
      </c>
      <c r="D310" t="s">
        <v>770</v>
      </c>
      <c r="E310">
        <v>309</v>
      </c>
      <c r="H310">
        <v>9021</v>
      </c>
      <c r="I310">
        <v>4</v>
      </c>
      <c r="J310" t="s">
        <v>25</v>
      </c>
      <c r="K310">
        <v>150000</v>
      </c>
      <c r="L310" t="s">
        <v>30</v>
      </c>
      <c r="M310">
        <v>45</v>
      </c>
      <c r="N310">
        <v>921</v>
      </c>
      <c r="O310">
        <v>9</v>
      </c>
      <c r="P310">
        <v>21</v>
      </c>
      <c r="Q310">
        <v>26</v>
      </c>
      <c r="R310">
        <v>19</v>
      </c>
      <c r="S310">
        <v>1452</v>
      </c>
      <c r="T310">
        <v>1887</v>
      </c>
      <c r="U310" s="1">
        <v>45499</v>
      </c>
      <c r="V310" s="1">
        <v>45530</v>
      </c>
      <c r="W310">
        <v>122991</v>
      </c>
      <c r="X310">
        <v>0.89534883700000001</v>
      </c>
      <c r="Y310">
        <v>2332.0730789999998</v>
      </c>
      <c r="Z310">
        <f t="shared" si="16"/>
        <v>0.97267441850000003</v>
      </c>
      <c r="AA310">
        <f t="shared" si="18"/>
        <v>1940.0119547813522</v>
      </c>
      <c r="AB310" cm="1">
        <f t="array" ref="AB310">_xlfn.IFS(X310&lt;0.6,T310,0.9&lt;X310,T310,X310,AA310)</f>
        <v>1940.0119547813522</v>
      </c>
      <c r="AC310">
        <v>0.96337209300000004</v>
      </c>
      <c r="AD310">
        <v>2165.3741199999999</v>
      </c>
      <c r="AE310">
        <v>2165.3741199999999</v>
      </c>
      <c r="AG310">
        <v>0</v>
      </c>
      <c r="AH310">
        <v>309</v>
      </c>
    </row>
    <row r="311" spans="1:34" x14ac:dyDescent="0.25">
      <c r="A311" t="s">
        <v>768</v>
      </c>
      <c r="B311" t="s">
        <v>1074</v>
      </c>
      <c r="D311" t="s">
        <v>770</v>
      </c>
      <c r="E311">
        <v>310</v>
      </c>
      <c r="H311">
        <v>10021</v>
      </c>
      <c r="I311">
        <v>4</v>
      </c>
      <c r="J311" t="s">
        <v>25</v>
      </c>
      <c r="K311">
        <v>150000</v>
      </c>
      <c r="L311" t="s">
        <v>62</v>
      </c>
      <c r="M311">
        <v>43</v>
      </c>
      <c r="N311">
        <v>1021</v>
      </c>
      <c r="O311">
        <v>10</v>
      </c>
      <c r="P311">
        <v>21</v>
      </c>
      <c r="Q311">
        <v>25</v>
      </c>
      <c r="R311">
        <v>18.2</v>
      </c>
      <c r="S311">
        <v>1903</v>
      </c>
      <c r="T311">
        <v>2498</v>
      </c>
      <c r="U311" s="1">
        <v>45496</v>
      </c>
      <c r="V311" s="1">
        <v>45534</v>
      </c>
      <c r="W311">
        <v>124069</v>
      </c>
      <c r="X311">
        <v>0.93744414700000001</v>
      </c>
      <c r="Y311">
        <v>3060.381707</v>
      </c>
      <c r="Z311">
        <f t="shared" si="16"/>
        <v>0.99372207350000008</v>
      </c>
      <c r="AA311">
        <f t="shared" si="18"/>
        <v>2513.781334454779</v>
      </c>
      <c r="AB311" cm="1">
        <f t="array" ref="AB311">_xlfn.IFS(X311&lt;0.6,T311,0.9&lt;X311,T311,X311,AA311)</f>
        <v>2498</v>
      </c>
      <c r="AC311">
        <v>0.97810545100000001</v>
      </c>
      <c r="AD311">
        <v>2812.31511</v>
      </c>
      <c r="AE311">
        <v>2498</v>
      </c>
      <c r="AG311">
        <v>0</v>
      </c>
      <c r="AH311">
        <v>310</v>
      </c>
    </row>
    <row r="312" spans="1:34" x14ac:dyDescent="0.25">
      <c r="A312" t="s">
        <v>768</v>
      </c>
      <c r="B312" t="s">
        <v>1075</v>
      </c>
      <c r="D312" t="s">
        <v>770</v>
      </c>
      <c r="E312">
        <v>311</v>
      </c>
      <c r="H312">
        <v>11021</v>
      </c>
      <c r="I312">
        <v>4</v>
      </c>
      <c r="J312" t="s">
        <v>25</v>
      </c>
      <c r="K312">
        <v>150000</v>
      </c>
      <c r="L312" t="s">
        <v>50</v>
      </c>
      <c r="M312">
        <v>34</v>
      </c>
      <c r="N312">
        <v>1121</v>
      </c>
      <c r="O312">
        <v>11</v>
      </c>
      <c r="P312">
        <v>21</v>
      </c>
      <c r="Q312">
        <v>64</v>
      </c>
      <c r="R312">
        <v>16.8</v>
      </c>
      <c r="S312">
        <v>669</v>
      </c>
      <c r="T312">
        <v>893</v>
      </c>
      <c r="U312" s="1">
        <v>45495</v>
      </c>
      <c r="V312" s="1">
        <v>45537</v>
      </c>
      <c r="W312">
        <v>127646</v>
      </c>
      <c r="X312">
        <v>0.95531724799999995</v>
      </c>
      <c r="Y312">
        <v>1063.3574180000001</v>
      </c>
      <c r="Z312">
        <f t="shared" si="16"/>
        <v>1.0026586239999999</v>
      </c>
      <c r="AA312">
        <f t="shared" si="18"/>
        <v>890.63214400677214</v>
      </c>
      <c r="AB312" cm="1">
        <f t="array" ref="AB312">_xlfn.IFS(X312&lt;0.6,T312,0.9&lt;X312,T312,X312,AA312)</f>
        <v>893</v>
      </c>
      <c r="AC312">
        <v>0.98436103699999999</v>
      </c>
      <c r="AD312">
        <v>986.1843427</v>
      </c>
      <c r="AE312">
        <v>893</v>
      </c>
      <c r="AG312">
        <v>0</v>
      </c>
      <c r="AH312">
        <v>311</v>
      </c>
    </row>
    <row r="313" spans="1:34" x14ac:dyDescent="0.25">
      <c r="A313" t="s">
        <v>768</v>
      </c>
      <c r="B313" t="s">
        <v>1076</v>
      </c>
      <c r="D313" t="s">
        <v>770</v>
      </c>
      <c r="E313">
        <v>312</v>
      </c>
      <c r="H313">
        <v>12021</v>
      </c>
      <c r="I313">
        <v>4</v>
      </c>
      <c r="J313" t="s">
        <v>25</v>
      </c>
      <c r="K313">
        <v>150000</v>
      </c>
      <c r="L313" t="s">
        <v>58</v>
      </c>
      <c r="M313">
        <v>39</v>
      </c>
      <c r="N313">
        <v>1221</v>
      </c>
      <c r="O313">
        <v>12</v>
      </c>
      <c r="P313">
        <v>21</v>
      </c>
      <c r="Q313">
        <v>59</v>
      </c>
      <c r="R313">
        <v>18</v>
      </c>
      <c r="S313">
        <v>387</v>
      </c>
      <c r="T313">
        <v>509</v>
      </c>
      <c r="U313" s="1">
        <v>45491</v>
      </c>
      <c r="V313" s="1">
        <v>45525</v>
      </c>
      <c r="W313">
        <v>122094</v>
      </c>
      <c r="X313">
        <v>0.91265597099999995</v>
      </c>
      <c r="Y313">
        <v>633.66318569999999</v>
      </c>
      <c r="Z313">
        <f t="shared" si="16"/>
        <v>0.9813279855</v>
      </c>
      <c r="AA313">
        <f t="shared" si="18"/>
        <v>518.68489182101291</v>
      </c>
      <c r="AB313" cm="1">
        <f t="array" ref="AB313">_xlfn.IFS(X313&lt;0.6,T313,0.9&lt;X313,T313,X313,AA313)</f>
        <v>509</v>
      </c>
      <c r="AC313">
        <v>0.96942958999999995</v>
      </c>
      <c r="AD313">
        <v>582.33346349999999</v>
      </c>
      <c r="AE313">
        <v>509</v>
      </c>
      <c r="AG313">
        <v>0</v>
      </c>
      <c r="AH313">
        <v>312</v>
      </c>
    </row>
    <row r="314" spans="1:34" x14ac:dyDescent="0.25">
      <c r="A314" t="s">
        <v>768</v>
      </c>
      <c r="B314" t="s">
        <v>1077</v>
      </c>
      <c r="D314" t="s">
        <v>770</v>
      </c>
      <c r="E314">
        <v>313</v>
      </c>
      <c r="H314">
        <v>13021</v>
      </c>
      <c r="I314">
        <v>4</v>
      </c>
      <c r="J314" t="s">
        <v>25</v>
      </c>
      <c r="K314">
        <v>150000</v>
      </c>
      <c r="L314" t="s">
        <v>74</v>
      </c>
      <c r="M314">
        <v>31</v>
      </c>
      <c r="N314">
        <v>1321</v>
      </c>
      <c r="O314">
        <v>13</v>
      </c>
      <c r="P314">
        <v>21</v>
      </c>
      <c r="Q314">
        <v>36</v>
      </c>
      <c r="R314">
        <v>19.3</v>
      </c>
      <c r="S314">
        <v>1403</v>
      </c>
      <c r="T314">
        <v>1817</v>
      </c>
      <c r="U314" s="1">
        <v>45495</v>
      </c>
      <c r="V314" s="1">
        <v>45535</v>
      </c>
      <c r="W314">
        <v>125605</v>
      </c>
      <c r="X314">
        <v>0.90454950899999997</v>
      </c>
      <c r="Y314">
        <v>2198.8007320000002</v>
      </c>
      <c r="Z314">
        <f t="shared" si="16"/>
        <v>0.97727475450000001</v>
      </c>
      <c r="AA314">
        <f t="shared" si="18"/>
        <v>1859.2519571731145</v>
      </c>
      <c r="AB314" cm="1">
        <f t="array" ref="AB314">_xlfn.IFS(X314&lt;0.6,T314,0.9&lt;X314,T314,X314,AA314)</f>
        <v>1817</v>
      </c>
      <c r="AC314">
        <v>0.96659232799999995</v>
      </c>
      <c r="AD314">
        <v>2058.5209799999998</v>
      </c>
      <c r="AE314">
        <v>1817</v>
      </c>
      <c r="AG314">
        <v>0</v>
      </c>
      <c r="AH314">
        <v>313</v>
      </c>
    </row>
    <row r="315" spans="1:34" x14ac:dyDescent="0.25">
      <c r="A315" t="s">
        <v>768</v>
      </c>
      <c r="B315" t="s">
        <v>1078</v>
      </c>
      <c r="D315" t="s">
        <v>770</v>
      </c>
      <c r="E315">
        <v>314</v>
      </c>
      <c r="H315">
        <v>14021</v>
      </c>
      <c r="I315">
        <v>4</v>
      </c>
      <c r="J315" t="s">
        <v>25</v>
      </c>
      <c r="K315">
        <v>150000</v>
      </c>
      <c r="L315" t="s">
        <v>78</v>
      </c>
      <c r="M315">
        <v>36</v>
      </c>
      <c r="N315">
        <v>1421</v>
      </c>
      <c r="O315">
        <v>14</v>
      </c>
      <c r="P315">
        <v>21</v>
      </c>
      <c r="Q315">
        <v>69</v>
      </c>
      <c r="R315">
        <v>18</v>
      </c>
      <c r="S315">
        <v>283</v>
      </c>
      <c r="T315">
        <v>372</v>
      </c>
      <c r="U315" s="1">
        <v>45491</v>
      </c>
      <c r="V315" s="1">
        <v>45524</v>
      </c>
      <c r="W315">
        <v>93993</v>
      </c>
      <c r="X315">
        <v>0.68845120900000001</v>
      </c>
      <c r="Y315">
        <v>601.58462859999997</v>
      </c>
      <c r="Z315">
        <f t="shared" si="16"/>
        <v>0.86922560449999997</v>
      </c>
      <c r="AA315">
        <f t="shared" si="18"/>
        <v>427.967144633278</v>
      </c>
      <c r="AB315" cm="1">
        <f t="array" ref="AB315">_xlfn.IFS(X315&lt;0.6,T315,0.9&lt;X315,T315,X315,AA315)</f>
        <v>427.967144633278</v>
      </c>
      <c r="AC315">
        <v>0.89095792299999998</v>
      </c>
      <c r="AD315">
        <v>515.98700429999997</v>
      </c>
      <c r="AE315">
        <v>515.98700429999997</v>
      </c>
      <c r="AG315">
        <v>0</v>
      </c>
      <c r="AH315">
        <v>314</v>
      </c>
    </row>
    <row r="316" spans="1:34" x14ac:dyDescent="0.25">
      <c r="A316" t="s">
        <v>768</v>
      </c>
      <c r="B316" t="s">
        <v>1079</v>
      </c>
      <c r="D316" t="s">
        <v>770</v>
      </c>
      <c r="E316">
        <v>315</v>
      </c>
      <c r="H316">
        <v>15021</v>
      </c>
      <c r="I316">
        <v>4</v>
      </c>
      <c r="J316" t="s">
        <v>25</v>
      </c>
      <c r="K316">
        <v>150000</v>
      </c>
      <c r="L316" t="s">
        <v>42</v>
      </c>
      <c r="M316">
        <v>44</v>
      </c>
      <c r="N316">
        <v>1521</v>
      </c>
      <c r="O316">
        <v>15</v>
      </c>
      <c r="P316">
        <v>21</v>
      </c>
      <c r="U316" s="1">
        <v>45493</v>
      </c>
      <c r="V316" s="1">
        <v>45534</v>
      </c>
      <c r="W316">
        <v>48078</v>
      </c>
      <c r="X316">
        <v>0.30568079399999998</v>
      </c>
      <c r="AG316">
        <v>0</v>
      </c>
      <c r="AH316">
        <v>315</v>
      </c>
    </row>
    <row r="317" spans="1:34" x14ac:dyDescent="0.25">
      <c r="A317" t="s">
        <v>768</v>
      </c>
      <c r="B317" t="s">
        <v>1080</v>
      </c>
      <c r="D317" t="s">
        <v>770</v>
      </c>
      <c r="E317">
        <v>316</v>
      </c>
      <c r="H317">
        <v>15022</v>
      </c>
      <c r="I317">
        <v>4</v>
      </c>
      <c r="J317" t="s">
        <v>771</v>
      </c>
      <c r="K317">
        <v>150000</v>
      </c>
      <c r="L317" t="s">
        <v>66</v>
      </c>
      <c r="M317">
        <v>87</v>
      </c>
      <c r="N317">
        <v>1522</v>
      </c>
      <c r="O317">
        <v>15</v>
      </c>
      <c r="P317">
        <v>22</v>
      </c>
      <c r="Q317">
        <v>66</v>
      </c>
      <c r="R317">
        <v>20</v>
      </c>
      <c r="S317">
        <v>602</v>
      </c>
      <c r="T317">
        <v>773</v>
      </c>
      <c r="U317" s="1">
        <v>45498</v>
      </c>
      <c r="W317">
        <v>148411</v>
      </c>
      <c r="X317">
        <v>0.97638173399999995</v>
      </c>
      <c r="Y317">
        <v>791.69854659999999</v>
      </c>
      <c r="Z317">
        <f t="shared" ref="Z317:Z330" si="19">1-((0.95-X317)*0.5)</f>
        <v>1.0131908670000001</v>
      </c>
      <c r="AA317">
        <f t="shared" ref="AA317:AA328" si="20">T317/Z317</f>
        <v>762.93620992539002</v>
      </c>
      <c r="AB317" cm="1">
        <f t="array" ref="AB317">_xlfn.IFS(X317&lt;0.6,T317,0.9&lt;X317,T317,X317,AA317)</f>
        <v>773</v>
      </c>
      <c r="AC317">
        <v>0.99173360700000002</v>
      </c>
      <c r="AD317">
        <v>788.75772859999995</v>
      </c>
      <c r="AE317">
        <v>773</v>
      </c>
      <c r="AG317">
        <v>0</v>
      </c>
      <c r="AH317">
        <v>316</v>
      </c>
    </row>
    <row r="318" spans="1:34" x14ac:dyDescent="0.25">
      <c r="A318" t="s">
        <v>768</v>
      </c>
      <c r="B318" t="s">
        <v>1081</v>
      </c>
      <c r="D318" t="s">
        <v>770</v>
      </c>
      <c r="E318">
        <v>317</v>
      </c>
      <c r="H318">
        <v>14022</v>
      </c>
      <c r="I318">
        <v>4</v>
      </c>
      <c r="J318" t="s">
        <v>771</v>
      </c>
      <c r="K318">
        <v>150000</v>
      </c>
      <c r="L318" t="s">
        <v>34</v>
      </c>
      <c r="M318">
        <v>86</v>
      </c>
      <c r="N318">
        <v>1422</v>
      </c>
      <c r="O318">
        <v>14</v>
      </c>
      <c r="P318">
        <v>22</v>
      </c>
      <c r="Q318">
        <v>56</v>
      </c>
      <c r="R318">
        <v>21</v>
      </c>
      <c r="S318">
        <v>433</v>
      </c>
      <c r="T318">
        <v>549</v>
      </c>
      <c r="U318" s="1">
        <v>45492</v>
      </c>
      <c r="V318" s="1">
        <v>45527</v>
      </c>
      <c r="W318">
        <v>148482</v>
      </c>
      <c r="X318">
        <v>0.97685526300000003</v>
      </c>
      <c r="Y318">
        <v>562.00751609999998</v>
      </c>
      <c r="Z318">
        <f t="shared" si="19"/>
        <v>1.0134276314999999</v>
      </c>
      <c r="AA318">
        <f t="shared" si="20"/>
        <v>541.72590418460481</v>
      </c>
      <c r="AB318" cm="1">
        <f t="array" ref="AB318">_xlfn.IFS(X318&lt;0.6,T318,0.9&lt;X318,T318,X318,AA318)</f>
        <v>549</v>
      </c>
      <c r="AC318">
        <v>0.99189934199999996</v>
      </c>
      <c r="AD318">
        <v>559.96368729999995</v>
      </c>
      <c r="AE318">
        <v>549</v>
      </c>
      <c r="AG318">
        <v>0</v>
      </c>
      <c r="AH318">
        <v>317</v>
      </c>
    </row>
    <row r="319" spans="1:34" x14ac:dyDescent="0.25">
      <c r="A319" t="s">
        <v>768</v>
      </c>
      <c r="B319" t="s">
        <v>1082</v>
      </c>
      <c r="D319" t="s">
        <v>770</v>
      </c>
      <c r="E319">
        <v>318</v>
      </c>
      <c r="H319">
        <v>13022</v>
      </c>
      <c r="I319">
        <v>4</v>
      </c>
      <c r="J319" t="s">
        <v>771</v>
      </c>
      <c r="K319">
        <v>150000</v>
      </c>
      <c r="L319" t="s">
        <v>38</v>
      </c>
      <c r="M319">
        <v>78</v>
      </c>
      <c r="N319">
        <v>1322</v>
      </c>
      <c r="O319">
        <v>13</v>
      </c>
      <c r="P319">
        <v>22</v>
      </c>
      <c r="Q319">
        <v>40</v>
      </c>
      <c r="R319">
        <v>18.7</v>
      </c>
      <c r="S319">
        <v>1319</v>
      </c>
      <c r="T319">
        <v>1721</v>
      </c>
      <c r="U319" s="1">
        <v>45495</v>
      </c>
      <c r="V319" s="1">
        <v>45532</v>
      </c>
      <c r="W319">
        <v>147818</v>
      </c>
      <c r="X319">
        <v>0.972480444</v>
      </c>
      <c r="Y319">
        <v>1769.7013959999999</v>
      </c>
      <c r="Z319">
        <f t="shared" si="19"/>
        <v>1.0112402220000001</v>
      </c>
      <c r="AA319">
        <f t="shared" si="20"/>
        <v>1701.870596678066</v>
      </c>
      <c r="AB319" cm="1">
        <f t="array" ref="AB319">_xlfn.IFS(X319&lt;0.6,T319,0.9&lt;X319,T319,X319,AA319)</f>
        <v>1721</v>
      </c>
      <c r="AC319">
        <v>0.99036815499999997</v>
      </c>
      <c r="AD319">
        <v>1761.9821010000001</v>
      </c>
      <c r="AE319">
        <v>1721</v>
      </c>
      <c r="AG319">
        <v>0</v>
      </c>
      <c r="AH319">
        <v>318</v>
      </c>
    </row>
    <row r="320" spans="1:34" x14ac:dyDescent="0.25">
      <c r="A320" t="s">
        <v>768</v>
      </c>
      <c r="B320" t="s">
        <v>1083</v>
      </c>
      <c r="D320" t="s">
        <v>770</v>
      </c>
      <c r="E320">
        <v>319</v>
      </c>
      <c r="H320">
        <v>12022</v>
      </c>
      <c r="I320">
        <v>4</v>
      </c>
      <c r="J320" t="s">
        <v>771</v>
      </c>
      <c r="K320">
        <v>150000</v>
      </c>
      <c r="L320" t="s">
        <v>58</v>
      </c>
      <c r="M320">
        <v>84</v>
      </c>
      <c r="N320">
        <v>1222</v>
      </c>
      <c r="O320">
        <v>12</v>
      </c>
      <c r="P320">
        <v>22</v>
      </c>
      <c r="Q320">
        <v>67</v>
      </c>
      <c r="R320">
        <v>20.6</v>
      </c>
      <c r="S320">
        <v>399</v>
      </c>
      <c r="T320">
        <v>508</v>
      </c>
      <c r="U320" s="1">
        <v>45491</v>
      </c>
      <c r="V320" s="1">
        <v>45525</v>
      </c>
      <c r="W320">
        <v>151684</v>
      </c>
      <c r="X320">
        <v>0.997907922</v>
      </c>
      <c r="Y320">
        <v>509.06500360000001</v>
      </c>
      <c r="Z320">
        <f t="shared" si="19"/>
        <v>1.0239539610000001</v>
      </c>
      <c r="AA320">
        <f t="shared" si="20"/>
        <v>496.11605535846934</v>
      </c>
      <c r="AB320" cm="1">
        <f t="array" ref="AB320">_xlfn.IFS(X320&lt;0.6,T320,0.9&lt;X320,T320,X320,AA320)</f>
        <v>508</v>
      </c>
      <c r="AC320">
        <v>0.99926777300000003</v>
      </c>
      <c r="AD320">
        <v>508.90457800000001</v>
      </c>
      <c r="AE320">
        <v>508</v>
      </c>
      <c r="AG320">
        <v>0</v>
      </c>
      <c r="AH320">
        <v>319</v>
      </c>
    </row>
    <row r="321" spans="1:34" x14ac:dyDescent="0.25">
      <c r="A321" t="s">
        <v>768</v>
      </c>
      <c r="B321" t="s">
        <v>1084</v>
      </c>
      <c r="D321" t="s">
        <v>770</v>
      </c>
      <c r="E321">
        <v>320</v>
      </c>
      <c r="H321">
        <v>11022</v>
      </c>
      <c r="I321">
        <v>4</v>
      </c>
      <c r="J321" t="s">
        <v>771</v>
      </c>
      <c r="K321">
        <v>150000</v>
      </c>
      <c r="L321" t="s">
        <v>42</v>
      </c>
      <c r="M321">
        <v>89</v>
      </c>
      <c r="N321">
        <v>1122</v>
      </c>
      <c r="O321">
        <v>11</v>
      </c>
      <c r="P321">
        <v>22</v>
      </c>
      <c r="Q321">
        <v>44</v>
      </c>
      <c r="R321">
        <v>18.600000000000001</v>
      </c>
      <c r="S321">
        <v>1507</v>
      </c>
      <c r="T321">
        <v>1968</v>
      </c>
      <c r="U321" s="1">
        <v>45493</v>
      </c>
      <c r="V321" s="1">
        <v>45527</v>
      </c>
      <c r="W321">
        <v>149603</v>
      </c>
      <c r="X321">
        <v>0.98422378799999999</v>
      </c>
      <c r="Y321">
        <v>1999.5452499999999</v>
      </c>
      <c r="Z321">
        <f t="shared" si="19"/>
        <v>1.0171118940000001</v>
      </c>
      <c r="AA321">
        <f t="shared" si="20"/>
        <v>1934.8903612368924</v>
      </c>
      <c r="AB321" cm="1">
        <f t="array" ref="AB321">_xlfn.IFS(X321&lt;0.6,T321,0.9&lt;X321,T321,X321,AA321)</f>
        <v>1968</v>
      </c>
      <c r="AC321">
        <v>0.99447832599999997</v>
      </c>
      <c r="AD321">
        <v>1994.6610889999999</v>
      </c>
      <c r="AE321">
        <v>1968</v>
      </c>
      <c r="AG321">
        <v>0</v>
      </c>
      <c r="AH321">
        <v>320</v>
      </c>
    </row>
    <row r="322" spans="1:34" x14ac:dyDescent="0.25">
      <c r="A322" t="s">
        <v>768</v>
      </c>
      <c r="B322" t="s">
        <v>1085</v>
      </c>
      <c r="D322" t="s">
        <v>770</v>
      </c>
      <c r="E322">
        <v>321</v>
      </c>
      <c r="H322">
        <v>10022</v>
      </c>
      <c r="I322">
        <v>4</v>
      </c>
      <c r="J322" t="s">
        <v>771</v>
      </c>
      <c r="K322">
        <v>150000</v>
      </c>
      <c r="L322" t="s">
        <v>26</v>
      </c>
      <c r="M322">
        <v>83</v>
      </c>
      <c r="N322">
        <v>1022</v>
      </c>
      <c r="O322">
        <v>10</v>
      </c>
      <c r="P322">
        <v>22</v>
      </c>
      <c r="Q322">
        <v>27</v>
      </c>
      <c r="R322">
        <v>18.899999999999999</v>
      </c>
      <c r="S322">
        <v>1809</v>
      </c>
      <c r="T322">
        <v>2354</v>
      </c>
      <c r="U322" s="1">
        <v>45496</v>
      </c>
      <c r="V322" s="1">
        <v>45533</v>
      </c>
      <c r="W322">
        <v>144339</v>
      </c>
      <c r="X322">
        <v>0.94959868400000003</v>
      </c>
      <c r="Y322">
        <v>2478.9419349999998</v>
      </c>
      <c r="Z322">
        <f t="shared" si="19"/>
        <v>0.99979934199999998</v>
      </c>
      <c r="AA322">
        <f t="shared" si="20"/>
        <v>2354.4724437316145</v>
      </c>
      <c r="AB322" cm="1">
        <f t="array" ref="AB322">_xlfn.IFS(X322&lt;0.6,T322,0.9&lt;X322,T322,X322,AA322)</f>
        <v>2354</v>
      </c>
      <c r="AC322">
        <v>0.98235953899999995</v>
      </c>
      <c r="AD322">
        <v>2458.2200939999998</v>
      </c>
      <c r="AE322">
        <v>2354</v>
      </c>
      <c r="AG322">
        <v>0</v>
      </c>
      <c r="AH322">
        <v>321</v>
      </c>
    </row>
    <row r="323" spans="1:34" x14ac:dyDescent="0.25">
      <c r="A323" t="s">
        <v>768</v>
      </c>
      <c r="B323" t="s">
        <v>1086</v>
      </c>
      <c r="D323" t="s">
        <v>770</v>
      </c>
      <c r="E323">
        <v>322</v>
      </c>
      <c r="H323">
        <v>9022</v>
      </c>
      <c r="I323">
        <v>4</v>
      </c>
      <c r="J323" t="s">
        <v>771</v>
      </c>
      <c r="K323">
        <v>150000</v>
      </c>
      <c r="L323" t="s">
        <v>46</v>
      </c>
      <c r="M323">
        <v>80</v>
      </c>
      <c r="N323">
        <v>922</v>
      </c>
      <c r="O323">
        <v>9</v>
      </c>
      <c r="P323">
        <v>22</v>
      </c>
      <c r="Q323">
        <v>40</v>
      </c>
      <c r="R323">
        <v>18</v>
      </c>
      <c r="S323">
        <v>1761</v>
      </c>
      <c r="T323">
        <v>2317</v>
      </c>
      <c r="U323" s="1">
        <v>45496</v>
      </c>
      <c r="V323" s="1">
        <v>45530</v>
      </c>
      <c r="W323">
        <v>151836</v>
      </c>
      <c r="X323">
        <v>0.99893419699999997</v>
      </c>
      <c r="Y323">
        <v>2319.4721009999998</v>
      </c>
      <c r="Z323">
        <f t="shared" si="19"/>
        <v>1.0244670985</v>
      </c>
      <c r="AA323">
        <f t="shared" si="20"/>
        <v>2261.6636526370594</v>
      </c>
      <c r="AB323" cm="1">
        <f t="array" ref="AB323">_xlfn.IFS(X323&lt;0.6,T323,0.9&lt;X323,T323,X323,AA323)</f>
        <v>2317</v>
      </c>
      <c r="AC323">
        <v>0.99962696900000003</v>
      </c>
      <c r="AD323">
        <v>2319.1004870000002</v>
      </c>
      <c r="AE323">
        <v>2317</v>
      </c>
      <c r="AG323">
        <v>0</v>
      </c>
      <c r="AH323">
        <v>322</v>
      </c>
    </row>
    <row r="324" spans="1:34" x14ac:dyDescent="0.25">
      <c r="A324" t="s">
        <v>768</v>
      </c>
      <c r="B324" t="s">
        <v>1087</v>
      </c>
      <c r="D324" t="s">
        <v>770</v>
      </c>
      <c r="E324">
        <v>323</v>
      </c>
      <c r="H324">
        <v>8022</v>
      </c>
      <c r="I324">
        <v>4</v>
      </c>
      <c r="J324" t="s">
        <v>771</v>
      </c>
      <c r="K324">
        <v>150000</v>
      </c>
      <c r="L324" t="s">
        <v>78</v>
      </c>
      <c r="M324">
        <v>81</v>
      </c>
      <c r="N324">
        <v>822</v>
      </c>
      <c r="O324">
        <v>8</v>
      </c>
      <c r="P324">
        <v>22</v>
      </c>
      <c r="Q324">
        <v>49</v>
      </c>
      <c r="R324">
        <v>20.7</v>
      </c>
      <c r="S324">
        <v>398</v>
      </c>
      <c r="T324">
        <v>506</v>
      </c>
      <c r="U324" s="1">
        <v>45491</v>
      </c>
      <c r="V324" s="1">
        <v>45525</v>
      </c>
      <c r="W324">
        <v>151058</v>
      </c>
      <c r="X324">
        <v>0.99379609300000005</v>
      </c>
      <c r="Y324">
        <v>509.1587735</v>
      </c>
      <c r="Z324">
        <f t="shared" si="19"/>
        <v>1.0218980465</v>
      </c>
      <c r="AA324">
        <f t="shared" si="20"/>
        <v>495.15702836799579</v>
      </c>
      <c r="AB324" cm="1">
        <f t="array" ref="AB324">_xlfn.IFS(X324&lt;0.6,T324,0.9&lt;X324,T324,X324,AA324)</f>
        <v>506</v>
      </c>
      <c r="AC324">
        <v>0.99782863300000002</v>
      </c>
      <c r="AD324">
        <v>508.6790014</v>
      </c>
      <c r="AE324">
        <v>506</v>
      </c>
      <c r="AG324">
        <v>0</v>
      </c>
      <c r="AH324">
        <v>323</v>
      </c>
    </row>
    <row r="325" spans="1:34" x14ac:dyDescent="0.25">
      <c r="A325" t="s">
        <v>768</v>
      </c>
      <c r="B325" t="s">
        <v>1088</v>
      </c>
      <c r="D325" t="s">
        <v>770</v>
      </c>
      <c r="E325">
        <v>324</v>
      </c>
      <c r="H325">
        <v>7022</v>
      </c>
      <c r="I325">
        <v>4</v>
      </c>
      <c r="J325" t="s">
        <v>771</v>
      </c>
      <c r="K325">
        <v>150000</v>
      </c>
      <c r="L325" t="s">
        <v>50</v>
      </c>
      <c r="M325">
        <v>79</v>
      </c>
      <c r="N325">
        <v>722</v>
      </c>
      <c r="O325">
        <v>7</v>
      </c>
      <c r="P325">
        <v>22</v>
      </c>
      <c r="Q325">
        <v>67</v>
      </c>
      <c r="R325">
        <v>20</v>
      </c>
      <c r="S325">
        <v>827</v>
      </c>
      <c r="T325">
        <v>1062</v>
      </c>
      <c r="U325" s="1">
        <v>45493</v>
      </c>
      <c r="W325">
        <v>151937</v>
      </c>
      <c r="X325">
        <v>0.99959867899999999</v>
      </c>
      <c r="Y325">
        <v>1062.4263739999999</v>
      </c>
      <c r="Z325">
        <f t="shared" si="19"/>
        <v>1.0247993394999999</v>
      </c>
      <c r="AA325">
        <f t="shared" si="20"/>
        <v>1036.3004337201762</v>
      </c>
      <c r="AB325" cm="1">
        <f t="array" ref="AB325">_xlfn.IFS(X325&lt;0.6,T325,0.9&lt;X325,T325,X325,AA325)</f>
        <v>1062</v>
      </c>
      <c r="AC325">
        <v>0.99985953800000005</v>
      </c>
      <c r="AD325">
        <v>1062.3623660000001</v>
      </c>
      <c r="AE325">
        <v>1062</v>
      </c>
      <c r="AG325">
        <v>0</v>
      </c>
      <c r="AH325">
        <v>324</v>
      </c>
    </row>
    <row r="326" spans="1:34" x14ac:dyDescent="0.25">
      <c r="A326" t="s">
        <v>768</v>
      </c>
      <c r="B326" t="s">
        <v>1089</v>
      </c>
      <c r="D326" t="s">
        <v>770</v>
      </c>
      <c r="E326">
        <v>325</v>
      </c>
      <c r="H326">
        <v>6022</v>
      </c>
      <c r="I326">
        <v>4</v>
      </c>
      <c r="J326" t="s">
        <v>771</v>
      </c>
      <c r="K326">
        <v>150000</v>
      </c>
      <c r="L326" t="s">
        <v>74</v>
      </c>
      <c r="M326">
        <v>76</v>
      </c>
      <c r="N326">
        <v>622</v>
      </c>
      <c r="O326">
        <v>6</v>
      </c>
      <c r="P326">
        <v>22</v>
      </c>
      <c r="Q326">
        <v>28</v>
      </c>
      <c r="R326">
        <v>18.899999999999999</v>
      </c>
      <c r="S326">
        <v>1843</v>
      </c>
      <c r="T326">
        <v>2398</v>
      </c>
      <c r="U326" s="1">
        <v>45494</v>
      </c>
      <c r="V326" s="1">
        <v>45536</v>
      </c>
      <c r="W326">
        <v>149638</v>
      </c>
      <c r="X326">
        <v>0.984460526</v>
      </c>
      <c r="Y326">
        <v>2435.8518560000002</v>
      </c>
      <c r="Z326">
        <f t="shared" si="19"/>
        <v>1.0172302630000001</v>
      </c>
      <c r="AA326">
        <f t="shared" si="20"/>
        <v>2357.3816934308015</v>
      </c>
      <c r="AB326" cm="1">
        <f t="array" ref="AB326">_xlfn.IFS(X326&lt;0.6,T326,0.9&lt;X326,T326,X326,AA326)</f>
        <v>2398</v>
      </c>
      <c r="AC326">
        <v>0.99456118400000004</v>
      </c>
      <c r="AD326">
        <v>2429.994017</v>
      </c>
      <c r="AE326">
        <v>2398</v>
      </c>
      <c r="AG326">
        <v>0</v>
      </c>
      <c r="AH326">
        <v>325</v>
      </c>
    </row>
    <row r="327" spans="1:34" x14ac:dyDescent="0.25">
      <c r="A327" t="s">
        <v>768</v>
      </c>
      <c r="B327" t="s">
        <v>1090</v>
      </c>
      <c r="D327" t="s">
        <v>770</v>
      </c>
      <c r="E327">
        <v>326</v>
      </c>
      <c r="H327">
        <v>5022</v>
      </c>
      <c r="I327">
        <v>4</v>
      </c>
      <c r="J327" t="s">
        <v>771</v>
      </c>
      <c r="K327">
        <v>150000</v>
      </c>
      <c r="L327" t="s">
        <v>30</v>
      </c>
      <c r="M327">
        <v>90</v>
      </c>
      <c r="N327">
        <v>522</v>
      </c>
      <c r="O327">
        <v>5</v>
      </c>
      <c r="P327">
        <v>22</v>
      </c>
      <c r="Q327">
        <v>24</v>
      </c>
      <c r="R327">
        <v>19.3</v>
      </c>
      <c r="S327">
        <v>1872</v>
      </c>
      <c r="T327">
        <v>2424</v>
      </c>
      <c r="U327" s="1">
        <v>45498</v>
      </c>
      <c r="V327" s="1">
        <v>45528</v>
      </c>
      <c r="W327">
        <v>146106</v>
      </c>
      <c r="X327">
        <v>0.96123633200000003</v>
      </c>
      <c r="Y327">
        <v>2521.7523719999999</v>
      </c>
      <c r="Z327">
        <f t="shared" si="19"/>
        <v>1.0056181660000001</v>
      </c>
      <c r="AA327">
        <f t="shared" si="20"/>
        <v>2410.4576487931104</v>
      </c>
      <c r="AB327" cm="1">
        <f t="array" ref="AB327">_xlfn.IFS(X327&lt;0.6,T327,0.9&lt;X327,T327,X327,AA327)</f>
        <v>2424</v>
      </c>
      <c r="AC327">
        <v>0.98643271600000004</v>
      </c>
      <c r="AD327">
        <v>2505.9085239999999</v>
      </c>
      <c r="AE327">
        <v>2424</v>
      </c>
      <c r="AG327">
        <v>0</v>
      </c>
      <c r="AH327">
        <v>326</v>
      </c>
    </row>
    <row r="328" spans="1:34" x14ac:dyDescent="0.25">
      <c r="A328" t="s">
        <v>768</v>
      </c>
      <c r="B328" t="s">
        <v>1091</v>
      </c>
      <c r="D328" t="s">
        <v>770</v>
      </c>
      <c r="E328">
        <v>327</v>
      </c>
      <c r="H328">
        <v>4022</v>
      </c>
      <c r="I328">
        <v>4</v>
      </c>
      <c r="J328" t="s">
        <v>771</v>
      </c>
      <c r="K328">
        <v>150000</v>
      </c>
      <c r="L328" t="s">
        <v>70</v>
      </c>
      <c r="M328">
        <v>82</v>
      </c>
      <c r="N328">
        <v>422</v>
      </c>
      <c r="O328">
        <v>4</v>
      </c>
      <c r="P328">
        <v>22</v>
      </c>
      <c r="Q328">
        <v>44</v>
      </c>
      <c r="R328">
        <v>18.3</v>
      </c>
      <c r="S328">
        <v>1108</v>
      </c>
      <c r="T328">
        <v>1453</v>
      </c>
      <c r="U328" s="1">
        <v>45493</v>
      </c>
      <c r="V328" s="1">
        <v>45534</v>
      </c>
      <c r="W328">
        <v>128282</v>
      </c>
      <c r="X328">
        <v>0.84395497399999997</v>
      </c>
      <c r="Y328">
        <v>1721.655829</v>
      </c>
      <c r="Z328">
        <f t="shared" si="19"/>
        <v>0.94697748700000006</v>
      </c>
      <c r="AA328">
        <f t="shared" si="20"/>
        <v>1534.3553779753161</v>
      </c>
      <c r="AB328" cm="1">
        <f t="array" ref="AB328">_xlfn.IFS(X328&lt;0.6,T328,0.9&lt;X328,T328,X328,AA328)</f>
        <v>1534.3553779753161</v>
      </c>
      <c r="AC328">
        <v>0.94538424099999996</v>
      </c>
      <c r="AD328">
        <v>1667.0051410000001</v>
      </c>
      <c r="AE328">
        <v>1667.0051410000001</v>
      </c>
      <c r="AG328">
        <v>0</v>
      </c>
      <c r="AH328">
        <v>327</v>
      </c>
    </row>
    <row r="329" spans="1:34" x14ac:dyDescent="0.25">
      <c r="A329" t="s">
        <v>768</v>
      </c>
      <c r="B329" t="s">
        <v>1092</v>
      </c>
      <c r="D329" t="s">
        <v>770</v>
      </c>
      <c r="E329">
        <v>328</v>
      </c>
      <c r="H329">
        <v>3022</v>
      </c>
      <c r="I329">
        <v>4</v>
      </c>
      <c r="J329" t="s">
        <v>771</v>
      </c>
      <c r="K329">
        <v>150000</v>
      </c>
      <c r="L329" t="s">
        <v>54</v>
      </c>
      <c r="M329">
        <v>85</v>
      </c>
      <c r="N329">
        <v>322</v>
      </c>
      <c r="O329">
        <v>3</v>
      </c>
      <c r="P329">
        <v>22</v>
      </c>
      <c r="U329" s="1">
        <v>45492</v>
      </c>
      <c r="V329" s="1">
        <v>45527</v>
      </c>
      <c r="W329">
        <v>151518</v>
      </c>
      <c r="X329">
        <v>0.99682238899999998</v>
      </c>
      <c r="Z329">
        <f t="shared" si="19"/>
        <v>1.0234111945</v>
      </c>
      <c r="AG329">
        <v>0</v>
      </c>
      <c r="AH329">
        <v>328</v>
      </c>
    </row>
    <row r="330" spans="1:34" x14ac:dyDescent="0.25">
      <c r="A330" t="s">
        <v>768</v>
      </c>
      <c r="B330" t="s">
        <v>1093</v>
      </c>
      <c r="D330" t="s">
        <v>770</v>
      </c>
      <c r="E330">
        <v>329</v>
      </c>
      <c r="H330">
        <v>2022</v>
      </c>
      <c r="I330">
        <v>4</v>
      </c>
      <c r="J330" t="s">
        <v>771</v>
      </c>
      <c r="K330">
        <v>150000</v>
      </c>
      <c r="L330" t="s">
        <v>62</v>
      </c>
      <c r="M330">
        <v>88</v>
      </c>
      <c r="N330">
        <v>222</v>
      </c>
      <c r="O330">
        <v>2</v>
      </c>
      <c r="P330">
        <v>22</v>
      </c>
      <c r="Q330">
        <v>28</v>
      </c>
      <c r="R330">
        <v>19.2</v>
      </c>
      <c r="S330">
        <v>602</v>
      </c>
      <c r="T330">
        <v>781</v>
      </c>
      <c r="U330" s="1">
        <v>45495</v>
      </c>
      <c r="V330" s="1">
        <v>45534</v>
      </c>
      <c r="W330">
        <v>149940</v>
      </c>
      <c r="X330">
        <v>0.98644087899999999</v>
      </c>
      <c r="Y330">
        <v>791.73523409999996</v>
      </c>
      <c r="Z330">
        <f t="shared" si="19"/>
        <v>1.0182204395000001</v>
      </c>
      <c r="AA330">
        <f>T330/Z330</f>
        <v>767.02447692320163</v>
      </c>
      <c r="AB330" cm="1">
        <f t="array" ref="AB330">_xlfn.IFS(X330&lt;0.6,T330,0.9&lt;X330,T330,X330,AA330)</f>
        <v>781</v>
      </c>
      <c r="AC330">
        <v>0.99525430800000003</v>
      </c>
      <c r="AD330">
        <v>790.08045719999996</v>
      </c>
      <c r="AE330">
        <v>781</v>
      </c>
      <c r="AG330">
        <v>0</v>
      </c>
      <c r="AH330">
        <v>329</v>
      </c>
    </row>
    <row r="331" spans="1:34" x14ac:dyDescent="0.25">
      <c r="A331" t="s">
        <v>768</v>
      </c>
      <c r="B331" s="3" t="s">
        <v>1094</v>
      </c>
      <c r="D331" t="s">
        <v>770</v>
      </c>
      <c r="E331">
        <v>330</v>
      </c>
      <c r="H331">
        <v>1022</v>
      </c>
      <c r="I331">
        <v>4</v>
      </c>
      <c r="J331" t="s">
        <v>771</v>
      </c>
      <c r="K331">
        <v>150000</v>
      </c>
      <c r="L331" t="s">
        <v>80</v>
      </c>
      <c r="M331">
        <v>77</v>
      </c>
      <c r="N331">
        <v>122</v>
      </c>
      <c r="O331">
        <v>1</v>
      </c>
      <c r="P331">
        <v>22</v>
      </c>
      <c r="U331" s="1">
        <v>45494</v>
      </c>
      <c r="V331" s="1">
        <v>45532</v>
      </c>
      <c r="W331">
        <v>151128</v>
      </c>
      <c r="X331">
        <v>0.99426315799999998</v>
      </c>
      <c r="AG331">
        <v>0</v>
      </c>
      <c r="AH331">
        <v>330</v>
      </c>
    </row>
    <row r="332" spans="1:34" x14ac:dyDescent="0.25">
      <c r="A332" t="s">
        <v>768</v>
      </c>
      <c r="B332" t="s">
        <v>1095</v>
      </c>
      <c r="D332" t="s">
        <v>770</v>
      </c>
      <c r="E332">
        <v>331</v>
      </c>
      <c r="H332">
        <v>1023</v>
      </c>
      <c r="I332">
        <v>4</v>
      </c>
      <c r="J332" t="s">
        <v>771</v>
      </c>
      <c r="K332">
        <v>100000</v>
      </c>
      <c r="L332" t="s">
        <v>34</v>
      </c>
      <c r="M332">
        <v>71</v>
      </c>
      <c r="N332">
        <v>123</v>
      </c>
      <c r="O332">
        <v>1</v>
      </c>
      <c r="P332">
        <v>23</v>
      </c>
      <c r="Q332">
        <v>51</v>
      </c>
      <c r="R332">
        <v>20</v>
      </c>
      <c r="S332">
        <v>69</v>
      </c>
      <c r="T332">
        <v>89</v>
      </c>
      <c r="U332" s="1">
        <v>45490</v>
      </c>
      <c r="V332" s="1">
        <v>45525</v>
      </c>
      <c r="W332">
        <v>100546</v>
      </c>
      <c r="X332">
        <v>0.66148684199999996</v>
      </c>
      <c r="Y332">
        <v>134.54538220000001</v>
      </c>
      <c r="Z332">
        <f t="shared" ref="Z332:Z344" si="21">1-((0.95-X332)*0.5)</f>
        <v>0.855743421</v>
      </c>
      <c r="AA332">
        <f>T332/Z332</f>
        <v>104.00313670655729</v>
      </c>
      <c r="AB332" cm="1">
        <f t="array" ref="AB332">_xlfn.IFS(X332&lt;0.6,T332,0.9&lt;X332,T332,X332,AA332)</f>
        <v>104.00313670655729</v>
      </c>
      <c r="AC332">
        <v>0.88152039500000001</v>
      </c>
      <c r="AD332">
        <v>121.5320243</v>
      </c>
      <c r="AE332">
        <v>121.5320243</v>
      </c>
      <c r="AG332">
        <v>0</v>
      </c>
      <c r="AH332">
        <v>331</v>
      </c>
    </row>
    <row r="333" spans="1:34" x14ac:dyDescent="0.25">
      <c r="A333" t="s">
        <v>768</v>
      </c>
      <c r="B333" t="s">
        <v>1096</v>
      </c>
      <c r="D333" t="s">
        <v>770</v>
      </c>
      <c r="E333">
        <v>332</v>
      </c>
      <c r="H333">
        <v>2023</v>
      </c>
      <c r="I333">
        <v>4</v>
      </c>
      <c r="J333" t="s">
        <v>771</v>
      </c>
      <c r="K333">
        <v>100000</v>
      </c>
      <c r="L333" t="s">
        <v>66</v>
      </c>
      <c r="M333">
        <v>72</v>
      </c>
      <c r="N333">
        <v>223</v>
      </c>
      <c r="O333">
        <v>2</v>
      </c>
      <c r="P333">
        <v>23</v>
      </c>
      <c r="U333" s="1">
        <v>45498</v>
      </c>
      <c r="V333" s="1">
        <v>45535</v>
      </c>
      <c r="W333">
        <v>149719</v>
      </c>
      <c r="X333">
        <v>0.98499342099999998</v>
      </c>
      <c r="Z333">
        <f t="shared" si="21"/>
        <v>1.0174967105000001</v>
      </c>
      <c r="AG333">
        <v>0</v>
      </c>
      <c r="AH333">
        <v>332</v>
      </c>
    </row>
    <row r="334" spans="1:34" x14ac:dyDescent="0.25">
      <c r="A334" t="s">
        <v>768</v>
      </c>
      <c r="B334" t="s">
        <v>1097</v>
      </c>
      <c r="D334" t="s">
        <v>770</v>
      </c>
      <c r="E334">
        <v>333</v>
      </c>
      <c r="H334">
        <v>3023</v>
      </c>
      <c r="I334">
        <v>4</v>
      </c>
      <c r="J334" t="s">
        <v>771</v>
      </c>
      <c r="K334">
        <v>100000</v>
      </c>
      <c r="L334" t="s">
        <v>70</v>
      </c>
      <c r="M334">
        <v>67</v>
      </c>
      <c r="N334">
        <v>323</v>
      </c>
      <c r="O334">
        <v>3</v>
      </c>
      <c r="P334">
        <v>23</v>
      </c>
      <c r="Q334">
        <v>44</v>
      </c>
      <c r="R334">
        <v>19.899999999999999</v>
      </c>
      <c r="S334">
        <v>507</v>
      </c>
      <c r="T334">
        <v>652</v>
      </c>
      <c r="U334" s="1">
        <v>45498</v>
      </c>
      <c r="V334" s="1">
        <v>45532</v>
      </c>
      <c r="W334">
        <v>135319</v>
      </c>
      <c r="X334">
        <v>0.89025072199999999</v>
      </c>
      <c r="Y334">
        <v>732.37795140000003</v>
      </c>
      <c r="Z334">
        <f t="shared" si="21"/>
        <v>0.97012536100000002</v>
      </c>
      <c r="AA334">
        <f>T334/Z334</f>
        <v>672.0780903283694</v>
      </c>
      <c r="AB334" cm="1">
        <f t="array" ref="AB334">_xlfn.IFS(X334&lt;0.6,T334,0.9&lt;X334,T334,X334,AA334)</f>
        <v>672.0780903283694</v>
      </c>
      <c r="AC334">
        <v>0.96158775299999999</v>
      </c>
      <c r="AD334">
        <v>717.41302210000003</v>
      </c>
      <c r="AE334">
        <v>717.41302210000003</v>
      </c>
      <c r="AG334">
        <v>0</v>
      </c>
      <c r="AH334">
        <v>333</v>
      </c>
    </row>
    <row r="335" spans="1:34" x14ac:dyDescent="0.25">
      <c r="A335" t="s">
        <v>768</v>
      </c>
      <c r="B335" t="s">
        <v>1098</v>
      </c>
      <c r="D335" t="s">
        <v>770</v>
      </c>
      <c r="E335">
        <v>334</v>
      </c>
      <c r="H335">
        <v>4023</v>
      </c>
      <c r="I335">
        <v>4</v>
      </c>
      <c r="J335" t="s">
        <v>771</v>
      </c>
      <c r="K335">
        <v>100000</v>
      </c>
      <c r="L335" t="s">
        <v>46</v>
      </c>
      <c r="M335">
        <v>65</v>
      </c>
      <c r="N335">
        <v>423</v>
      </c>
      <c r="O335">
        <v>4</v>
      </c>
      <c r="P335">
        <v>23</v>
      </c>
      <c r="U335" s="1">
        <v>45493</v>
      </c>
      <c r="V335" s="1">
        <v>45530</v>
      </c>
      <c r="W335">
        <v>113124</v>
      </c>
      <c r="X335">
        <v>0.74424173800000004</v>
      </c>
      <c r="Z335">
        <f t="shared" si="21"/>
        <v>0.8971208690000001</v>
      </c>
      <c r="AG335">
        <v>0</v>
      </c>
      <c r="AH335">
        <v>334</v>
      </c>
    </row>
    <row r="336" spans="1:34" x14ac:dyDescent="0.25">
      <c r="A336" t="s">
        <v>768</v>
      </c>
      <c r="B336" t="s">
        <v>1099</v>
      </c>
      <c r="D336" t="s">
        <v>770</v>
      </c>
      <c r="E336">
        <v>335</v>
      </c>
      <c r="H336">
        <v>5023</v>
      </c>
      <c r="I336">
        <v>4</v>
      </c>
      <c r="J336" t="s">
        <v>771</v>
      </c>
      <c r="K336">
        <v>100000</v>
      </c>
      <c r="L336" t="s">
        <v>74</v>
      </c>
      <c r="M336">
        <v>61</v>
      </c>
      <c r="N336">
        <v>523</v>
      </c>
      <c r="O336">
        <v>5</v>
      </c>
      <c r="P336">
        <v>23</v>
      </c>
      <c r="Q336">
        <v>31</v>
      </c>
      <c r="R336">
        <v>24.1</v>
      </c>
      <c r="S336">
        <v>1489</v>
      </c>
      <c r="T336">
        <v>1813</v>
      </c>
      <c r="U336" s="1">
        <v>45497</v>
      </c>
      <c r="W336">
        <v>151202</v>
      </c>
      <c r="X336">
        <v>0.99475000000000002</v>
      </c>
      <c r="Y336">
        <v>1822.568485</v>
      </c>
      <c r="Z336">
        <f t="shared" si="21"/>
        <v>1.022375</v>
      </c>
      <c r="AA336">
        <f>T336/Z336</f>
        <v>1773.3219219953539</v>
      </c>
      <c r="AB336" cm="1">
        <f t="array" ref="AB336">_xlfn.IFS(X336&lt;0.6,T336,0.9&lt;X336,T336,X336,AA336)</f>
        <v>1813</v>
      </c>
      <c r="AC336">
        <v>0.99816249999999995</v>
      </c>
      <c r="AD336">
        <v>1821.1179549999999</v>
      </c>
      <c r="AE336">
        <v>1813</v>
      </c>
      <c r="AG336">
        <v>0</v>
      </c>
      <c r="AH336">
        <v>335</v>
      </c>
    </row>
    <row r="337" spans="1:34" x14ac:dyDescent="0.25">
      <c r="A337" t="s">
        <v>768</v>
      </c>
      <c r="B337" t="s">
        <v>1100</v>
      </c>
      <c r="D337" t="s">
        <v>770</v>
      </c>
      <c r="E337">
        <v>336</v>
      </c>
      <c r="H337">
        <v>6023</v>
      </c>
      <c r="I337">
        <v>4</v>
      </c>
      <c r="J337" t="s">
        <v>771</v>
      </c>
      <c r="K337">
        <v>100000</v>
      </c>
      <c r="L337" t="s">
        <v>50</v>
      </c>
      <c r="M337">
        <v>64</v>
      </c>
      <c r="N337">
        <v>623</v>
      </c>
      <c r="O337">
        <v>6</v>
      </c>
      <c r="P337">
        <v>23</v>
      </c>
      <c r="Q337">
        <v>64</v>
      </c>
      <c r="R337">
        <v>25.4</v>
      </c>
      <c r="S337">
        <v>419</v>
      </c>
      <c r="T337">
        <v>502</v>
      </c>
      <c r="U337" s="1">
        <v>45497</v>
      </c>
      <c r="W337">
        <v>151433</v>
      </c>
      <c r="X337">
        <v>0.99626318199999997</v>
      </c>
      <c r="Y337">
        <v>503.88291850000002</v>
      </c>
      <c r="Z337">
        <f t="shared" si="21"/>
        <v>1.0231315910000001</v>
      </c>
      <c r="AA337">
        <f>T337/Z337</f>
        <v>490.65047391347724</v>
      </c>
      <c r="AB337" cm="1">
        <f t="array" ref="AB337">_xlfn.IFS(X337&lt;0.6,T337,0.9&lt;X337,T337,X337,AA337)</f>
        <v>502</v>
      </c>
      <c r="AC337">
        <v>0.99869211400000002</v>
      </c>
      <c r="AD337">
        <v>503.59834649999999</v>
      </c>
      <c r="AE337">
        <v>502</v>
      </c>
      <c r="AG337">
        <v>0</v>
      </c>
      <c r="AH337">
        <v>336</v>
      </c>
    </row>
    <row r="338" spans="1:34" x14ac:dyDescent="0.25">
      <c r="A338" t="s">
        <v>768</v>
      </c>
      <c r="B338" t="s">
        <v>1101</v>
      </c>
      <c r="D338" t="s">
        <v>770</v>
      </c>
      <c r="E338">
        <v>337</v>
      </c>
      <c r="H338">
        <v>7023</v>
      </c>
      <c r="I338">
        <v>4</v>
      </c>
      <c r="J338" t="s">
        <v>771</v>
      </c>
      <c r="K338">
        <v>100000</v>
      </c>
      <c r="L338" t="s">
        <v>78</v>
      </c>
      <c r="M338">
        <v>66</v>
      </c>
      <c r="N338">
        <v>723</v>
      </c>
      <c r="O338">
        <v>7</v>
      </c>
      <c r="P338">
        <v>23</v>
      </c>
      <c r="Q338">
        <v>57</v>
      </c>
      <c r="R338">
        <v>23.6</v>
      </c>
      <c r="S338">
        <v>681</v>
      </c>
      <c r="T338">
        <v>835</v>
      </c>
      <c r="U338" s="1">
        <v>45491</v>
      </c>
      <c r="V338" s="1">
        <v>45530</v>
      </c>
      <c r="W338">
        <v>147817</v>
      </c>
      <c r="X338">
        <v>0.97246746799999995</v>
      </c>
      <c r="Y338">
        <v>858.64054880000003</v>
      </c>
      <c r="Z338">
        <f t="shared" si="21"/>
        <v>1.0112337339999999</v>
      </c>
      <c r="AA338">
        <f>T338/Z338</f>
        <v>825.72403582414518</v>
      </c>
      <c r="AB338" cm="1">
        <f t="array" ref="AB338">_xlfn.IFS(X338&lt;0.6,T338,0.9&lt;X338,T338,X338,AA338)</f>
        <v>835</v>
      </c>
      <c r="AC338">
        <v>0.99036361399999995</v>
      </c>
      <c r="AD338">
        <v>854.8933644</v>
      </c>
      <c r="AE338">
        <v>835</v>
      </c>
      <c r="AG338">
        <v>0</v>
      </c>
      <c r="AH338">
        <v>337</v>
      </c>
    </row>
    <row r="339" spans="1:34" x14ac:dyDescent="0.25">
      <c r="A339" t="s">
        <v>768</v>
      </c>
      <c r="B339" t="s">
        <v>1102</v>
      </c>
      <c r="D339" t="s">
        <v>770</v>
      </c>
      <c r="E339">
        <v>338</v>
      </c>
      <c r="H339">
        <v>8023</v>
      </c>
      <c r="I339">
        <v>4</v>
      </c>
      <c r="J339" t="s">
        <v>771</v>
      </c>
      <c r="K339">
        <v>100000</v>
      </c>
      <c r="L339" t="s">
        <v>38</v>
      </c>
      <c r="M339">
        <v>63</v>
      </c>
      <c r="N339">
        <v>823</v>
      </c>
      <c r="O339">
        <v>8</v>
      </c>
      <c r="P339">
        <v>23</v>
      </c>
      <c r="U339" s="1">
        <v>45494</v>
      </c>
      <c r="V339" s="1">
        <v>45534</v>
      </c>
      <c r="W339">
        <v>150028</v>
      </c>
      <c r="X339">
        <v>0.98701982200000005</v>
      </c>
      <c r="Z339">
        <f t="shared" si="21"/>
        <v>1.018509911</v>
      </c>
      <c r="AG339">
        <v>0</v>
      </c>
      <c r="AH339">
        <v>338</v>
      </c>
    </row>
    <row r="340" spans="1:34" x14ac:dyDescent="0.25">
      <c r="A340" t="s">
        <v>768</v>
      </c>
      <c r="B340" t="s">
        <v>1103</v>
      </c>
      <c r="D340" t="s">
        <v>770</v>
      </c>
      <c r="E340">
        <v>339</v>
      </c>
      <c r="H340">
        <v>9023</v>
      </c>
      <c r="I340">
        <v>4</v>
      </c>
      <c r="J340" t="s">
        <v>771</v>
      </c>
      <c r="K340">
        <v>100000</v>
      </c>
      <c r="L340" t="s">
        <v>30</v>
      </c>
      <c r="M340">
        <v>75</v>
      </c>
      <c r="N340">
        <v>923</v>
      </c>
      <c r="O340">
        <v>9</v>
      </c>
      <c r="P340">
        <v>23</v>
      </c>
      <c r="Q340">
        <v>26</v>
      </c>
      <c r="R340">
        <v>24.3</v>
      </c>
      <c r="S340">
        <v>1653</v>
      </c>
      <c r="T340">
        <v>2008</v>
      </c>
      <c r="U340" s="1">
        <v>45497</v>
      </c>
      <c r="V340" s="1">
        <v>45532</v>
      </c>
      <c r="W340">
        <v>136781</v>
      </c>
      <c r="X340">
        <v>0.89986907999999999</v>
      </c>
      <c r="Y340">
        <v>2231.4357110000001</v>
      </c>
      <c r="Z340">
        <f t="shared" si="21"/>
        <v>0.97493454000000002</v>
      </c>
      <c r="AA340">
        <f>T340/Z340</f>
        <v>2059.6254595718806</v>
      </c>
      <c r="AB340" cm="1">
        <f t="array" ref="AB340">_xlfn.IFS(X340&lt;0.6,T340,0.9&lt;X340,T340,X340,AA340)</f>
        <v>2059.6254595718806</v>
      </c>
      <c r="AC340">
        <v>0.96495417800000005</v>
      </c>
      <c r="AD340">
        <v>2190.6012879999998</v>
      </c>
      <c r="AE340">
        <v>2190.6012879999998</v>
      </c>
      <c r="AG340">
        <v>0</v>
      </c>
      <c r="AH340">
        <v>339</v>
      </c>
    </row>
    <row r="341" spans="1:34" x14ac:dyDescent="0.25">
      <c r="A341" t="s">
        <v>768</v>
      </c>
      <c r="B341" s="2" t="s">
        <v>1104</v>
      </c>
      <c r="D341" t="s">
        <v>770</v>
      </c>
      <c r="E341">
        <v>340</v>
      </c>
      <c r="H341">
        <v>10023</v>
      </c>
      <c r="I341">
        <v>4</v>
      </c>
      <c r="J341" t="s">
        <v>771</v>
      </c>
      <c r="K341">
        <v>100000</v>
      </c>
      <c r="L341" t="s">
        <v>54</v>
      </c>
      <c r="M341">
        <v>70</v>
      </c>
      <c r="N341">
        <v>1023</v>
      </c>
      <c r="O341">
        <v>10</v>
      </c>
      <c r="P341">
        <v>23</v>
      </c>
      <c r="Q341">
        <v>66</v>
      </c>
      <c r="R341">
        <v>19.399999999999999</v>
      </c>
      <c r="S341">
        <v>411</v>
      </c>
      <c r="T341">
        <v>532</v>
      </c>
      <c r="U341" s="1">
        <v>45491</v>
      </c>
      <c r="V341" s="1">
        <v>45528</v>
      </c>
      <c r="W341">
        <v>151459</v>
      </c>
      <c r="X341">
        <v>0.99645390099999998</v>
      </c>
      <c r="Y341">
        <v>533.89323839999997</v>
      </c>
      <c r="Z341">
        <f t="shared" si="21"/>
        <v>1.0232269505</v>
      </c>
      <c r="AA341">
        <f>T341/Z341</f>
        <v>519.92375664073165</v>
      </c>
      <c r="AB341" cm="1">
        <f t="array" ref="AB341">_xlfn.IFS(X341&lt;0.6,T341,0.9&lt;X341,T341,X341,AA341)</f>
        <v>532</v>
      </c>
      <c r="AC341">
        <v>0.998758865</v>
      </c>
      <c r="AD341">
        <v>533.60721620000004</v>
      </c>
      <c r="AE341">
        <v>532</v>
      </c>
      <c r="AG341">
        <v>0</v>
      </c>
      <c r="AH341">
        <v>340</v>
      </c>
    </row>
    <row r="342" spans="1:34" x14ac:dyDescent="0.25">
      <c r="A342" t="s">
        <v>768</v>
      </c>
      <c r="B342" t="s">
        <v>1105</v>
      </c>
      <c r="D342" t="s">
        <v>770</v>
      </c>
      <c r="E342">
        <v>341</v>
      </c>
      <c r="H342">
        <v>11023</v>
      </c>
      <c r="I342">
        <v>4</v>
      </c>
      <c r="J342" t="s">
        <v>771</v>
      </c>
      <c r="K342">
        <v>100000</v>
      </c>
      <c r="L342" t="s">
        <v>26</v>
      </c>
      <c r="M342">
        <v>68</v>
      </c>
      <c r="N342">
        <v>1123</v>
      </c>
      <c r="O342">
        <v>11</v>
      </c>
      <c r="P342">
        <v>23</v>
      </c>
      <c r="Q342">
        <v>46</v>
      </c>
      <c r="R342">
        <v>21.4</v>
      </c>
      <c r="S342">
        <v>1311</v>
      </c>
      <c r="T342">
        <v>1653</v>
      </c>
      <c r="U342" s="1">
        <v>45496</v>
      </c>
      <c r="V342" s="1">
        <v>45534</v>
      </c>
      <c r="W342">
        <v>146106</v>
      </c>
      <c r="X342">
        <v>0.96121736000000002</v>
      </c>
      <c r="Y342">
        <v>1719.6942839999999</v>
      </c>
      <c r="Z342">
        <f t="shared" si="21"/>
        <v>1.0056086799999999</v>
      </c>
      <c r="AA342">
        <f>T342/Z342</f>
        <v>1643.7805608440055</v>
      </c>
      <c r="AB342" cm="1">
        <f t="array" ref="AB342">_xlfn.IFS(X342&lt;0.6,T342,0.9&lt;X342,T342,X342,AA342)</f>
        <v>1653</v>
      </c>
      <c r="AC342">
        <v>0.98642607599999999</v>
      </c>
      <c r="AD342">
        <v>1708.883971</v>
      </c>
      <c r="AE342">
        <v>1653</v>
      </c>
      <c r="AG342">
        <v>0</v>
      </c>
      <c r="AH342">
        <v>341</v>
      </c>
    </row>
    <row r="343" spans="1:34" x14ac:dyDescent="0.25">
      <c r="A343" t="s">
        <v>768</v>
      </c>
      <c r="B343" t="s">
        <v>1106</v>
      </c>
      <c r="D343" t="s">
        <v>770</v>
      </c>
      <c r="E343">
        <v>342</v>
      </c>
      <c r="H343">
        <v>12023</v>
      </c>
      <c r="I343">
        <v>4</v>
      </c>
      <c r="J343" t="s">
        <v>771</v>
      </c>
      <c r="K343">
        <v>100000</v>
      </c>
      <c r="L343" t="s">
        <v>80</v>
      </c>
      <c r="M343">
        <v>62</v>
      </c>
      <c r="N343">
        <v>1223</v>
      </c>
      <c r="O343">
        <v>12</v>
      </c>
      <c r="P343">
        <v>23</v>
      </c>
      <c r="Q343">
        <v>66</v>
      </c>
      <c r="R343">
        <v>25.3</v>
      </c>
      <c r="S343">
        <v>1503</v>
      </c>
      <c r="T343">
        <v>1802</v>
      </c>
      <c r="U343" s="1">
        <v>45497</v>
      </c>
      <c r="V343" s="1">
        <v>45532</v>
      </c>
      <c r="W343">
        <v>150645</v>
      </c>
      <c r="X343">
        <v>0.99107900599999998</v>
      </c>
      <c r="Y343">
        <v>1818.220333</v>
      </c>
      <c r="Z343">
        <f t="shared" si="21"/>
        <v>1.020539503</v>
      </c>
      <c r="AA343">
        <f>T343/Z343</f>
        <v>1765.7327273494086</v>
      </c>
      <c r="AB343" cm="1">
        <f t="array" ref="AB343">_xlfn.IFS(X343&lt;0.6,T343,0.9&lt;X343,T343,X343,AA343)</f>
        <v>1802</v>
      </c>
      <c r="AC343">
        <v>0.996877652</v>
      </c>
      <c r="AD343">
        <v>1815.743211</v>
      </c>
      <c r="AE343">
        <v>1802</v>
      </c>
      <c r="AG343">
        <v>0</v>
      </c>
      <c r="AH343">
        <v>342</v>
      </c>
    </row>
    <row r="344" spans="1:34" x14ac:dyDescent="0.25">
      <c r="A344" t="s">
        <v>768</v>
      </c>
      <c r="B344" t="s">
        <v>1107</v>
      </c>
      <c r="D344" t="s">
        <v>770</v>
      </c>
      <c r="E344">
        <v>343</v>
      </c>
      <c r="H344">
        <v>13023</v>
      </c>
      <c r="I344">
        <v>4</v>
      </c>
      <c r="J344" t="s">
        <v>771</v>
      </c>
      <c r="K344">
        <v>100000</v>
      </c>
      <c r="L344" t="s">
        <v>58</v>
      </c>
      <c r="M344">
        <v>69</v>
      </c>
      <c r="N344">
        <v>1323</v>
      </c>
      <c r="O344">
        <v>13</v>
      </c>
      <c r="P344">
        <v>23</v>
      </c>
      <c r="Q344">
        <v>65</v>
      </c>
      <c r="R344">
        <v>24.7</v>
      </c>
      <c r="S344">
        <v>214</v>
      </c>
      <c r="T344">
        <v>259</v>
      </c>
      <c r="U344" s="1">
        <v>45490</v>
      </c>
      <c r="V344" s="1">
        <v>45527</v>
      </c>
      <c r="W344">
        <v>151879</v>
      </c>
      <c r="X344">
        <v>0.99919737399999997</v>
      </c>
      <c r="Y344">
        <v>259.20804720000001</v>
      </c>
      <c r="Z344">
        <f t="shared" si="21"/>
        <v>1.0245986870000001</v>
      </c>
      <c r="AA344">
        <f>T344/Z344</f>
        <v>252.78189723075448</v>
      </c>
      <c r="AB344" cm="1">
        <f t="array" ref="AB344">_xlfn.IFS(X344&lt;0.6,T344,0.9&lt;X344,T344,X344,AA344)</f>
        <v>259</v>
      </c>
      <c r="AC344">
        <v>0.99971908099999995</v>
      </c>
      <c r="AD344">
        <v>259.17678949999998</v>
      </c>
      <c r="AE344">
        <v>259</v>
      </c>
      <c r="AG344">
        <v>0</v>
      </c>
      <c r="AH344">
        <v>343</v>
      </c>
    </row>
    <row r="345" spans="1:34" x14ac:dyDescent="0.25">
      <c r="A345" t="s">
        <v>768</v>
      </c>
      <c r="B345" t="s">
        <v>1108</v>
      </c>
      <c r="D345" t="s">
        <v>770</v>
      </c>
      <c r="E345">
        <v>344</v>
      </c>
      <c r="H345">
        <v>14023</v>
      </c>
      <c r="I345">
        <v>4</v>
      </c>
      <c r="J345" t="s">
        <v>771</v>
      </c>
      <c r="K345">
        <v>100000</v>
      </c>
      <c r="L345" t="s">
        <v>62</v>
      </c>
      <c r="M345">
        <v>73</v>
      </c>
      <c r="N345">
        <v>1423</v>
      </c>
      <c r="O345">
        <v>14</v>
      </c>
      <c r="P345">
        <v>23</v>
      </c>
      <c r="U345" s="1">
        <v>45496</v>
      </c>
      <c r="V345" s="1">
        <v>45534</v>
      </c>
      <c r="W345">
        <v>138447</v>
      </c>
      <c r="X345">
        <v>0.91084751100000005</v>
      </c>
      <c r="AG345">
        <v>0</v>
      </c>
      <c r="AH345">
        <v>344</v>
      </c>
    </row>
    <row r="346" spans="1:34" x14ac:dyDescent="0.25">
      <c r="A346" t="s">
        <v>768</v>
      </c>
      <c r="B346" t="s">
        <v>1109</v>
      </c>
      <c r="D346" t="s">
        <v>770</v>
      </c>
      <c r="E346">
        <v>345</v>
      </c>
      <c r="H346">
        <v>15023</v>
      </c>
      <c r="I346">
        <v>4</v>
      </c>
      <c r="J346" t="s">
        <v>771</v>
      </c>
      <c r="K346">
        <v>100000</v>
      </c>
      <c r="L346" t="s">
        <v>42</v>
      </c>
      <c r="M346">
        <v>74</v>
      </c>
      <c r="N346">
        <v>1523</v>
      </c>
      <c r="O346">
        <v>15</v>
      </c>
      <c r="P346">
        <v>23</v>
      </c>
      <c r="Q346">
        <v>53</v>
      </c>
      <c r="R346">
        <v>21.3</v>
      </c>
      <c r="S346">
        <v>934</v>
      </c>
      <c r="T346">
        <v>1179</v>
      </c>
      <c r="U346" s="1">
        <v>45494</v>
      </c>
      <c r="V346" s="1">
        <v>45527</v>
      </c>
      <c r="W346">
        <v>150535</v>
      </c>
      <c r="X346">
        <v>0.99035532699999995</v>
      </c>
      <c r="Y346">
        <v>1190.481808</v>
      </c>
      <c r="Z346">
        <f>1-((0.95-X346)*0.5)</f>
        <v>1.0201776634999999</v>
      </c>
      <c r="AA346">
        <f>T346/Z346</f>
        <v>1155.6810565280525</v>
      </c>
      <c r="AB346" cm="1">
        <f t="array" ref="AB346">_xlfn.IFS(X346&lt;0.6,T346,0.9&lt;X346,T346,X346,AA346)</f>
        <v>1179</v>
      </c>
      <c r="AC346">
        <v>0.99662436399999998</v>
      </c>
      <c r="AD346">
        <v>1188.72579</v>
      </c>
      <c r="AE346">
        <v>1179</v>
      </c>
      <c r="AG346">
        <v>0</v>
      </c>
      <c r="AH346">
        <v>345</v>
      </c>
    </row>
    <row r="347" spans="1:34" x14ac:dyDescent="0.25">
      <c r="A347" t="s">
        <v>768</v>
      </c>
      <c r="B347" t="s">
        <v>1110</v>
      </c>
      <c r="D347" t="s">
        <v>770</v>
      </c>
      <c r="E347">
        <v>346</v>
      </c>
      <c r="H347">
        <v>15024</v>
      </c>
      <c r="I347">
        <v>4</v>
      </c>
      <c r="J347" t="s">
        <v>771</v>
      </c>
      <c r="K347">
        <v>75000</v>
      </c>
      <c r="L347" t="s">
        <v>80</v>
      </c>
      <c r="M347">
        <v>47</v>
      </c>
      <c r="N347">
        <v>1524</v>
      </c>
      <c r="O347">
        <v>15</v>
      </c>
      <c r="P347">
        <v>24</v>
      </c>
      <c r="Q347">
        <v>27</v>
      </c>
      <c r="R347">
        <v>26.2</v>
      </c>
      <c r="S347">
        <v>1565</v>
      </c>
      <c r="T347">
        <v>1853</v>
      </c>
      <c r="U347" s="1">
        <v>45495</v>
      </c>
      <c r="V347" s="1">
        <v>45534</v>
      </c>
      <c r="W347">
        <v>151856</v>
      </c>
      <c r="X347">
        <v>0.99907235000000005</v>
      </c>
      <c r="Y347">
        <v>1854.7205309999999</v>
      </c>
      <c r="Z347">
        <f>1-((0.95-X347)*0.5)</f>
        <v>1.0245361750000002</v>
      </c>
      <c r="AA347">
        <f>T347/Z347</f>
        <v>1808.6233021493845</v>
      </c>
      <c r="AB347" cm="1">
        <f t="array" ref="AB347">_xlfn.IFS(X347&lt;0.6,T347,0.9&lt;X347,T347,X347,AA347)</f>
        <v>1853</v>
      </c>
      <c r="AC347">
        <v>0.99967532299999995</v>
      </c>
      <c r="AD347">
        <v>1854.461969</v>
      </c>
      <c r="AE347">
        <v>1853</v>
      </c>
      <c r="AG347">
        <v>0</v>
      </c>
      <c r="AH347">
        <v>346</v>
      </c>
    </row>
    <row r="348" spans="1:34" x14ac:dyDescent="0.25">
      <c r="A348" t="s">
        <v>768</v>
      </c>
      <c r="B348" t="s">
        <v>1111</v>
      </c>
      <c r="D348" t="s">
        <v>770</v>
      </c>
      <c r="E348">
        <v>347</v>
      </c>
      <c r="H348">
        <v>14024</v>
      </c>
      <c r="I348">
        <v>4</v>
      </c>
      <c r="J348" t="s">
        <v>771</v>
      </c>
      <c r="K348">
        <v>75000</v>
      </c>
      <c r="L348" t="s">
        <v>26</v>
      </c>
      <c r="M348">
        <v>53</v>
      </c>
      <c r="N348">
        <v>1424</v>
      </c>
      <c r="O348">
        <v>14</v>
      </c>
      <c r="P348">
        <v>24</v>
      </c>
      <c r="U348" s="1">
        <v>45497</v>
      </c>
      <c r="V348" s="1">
        <v>45534</v>
      </c>
      <c r="W348">
        <v>143768</v>
      </c>
      <c r="X348">
        <v>0.94584210499999999</v>
      </c>
      <c r="AG348">
        <v>0</v>
      </c>
      <c r="AH348">
        <v>347</v>
      </c>
    </row>
    <row r="349" spans="1:34" x14ac:dyDescent="0.25">
      <c r="A349" t="s">
        <v>768</v>
      </c>
      <c r="B349" t="s">
        <v>1112</v>
      </c>
      <c r="D349" t="s">
        <v>770</v>
      </c>
      <c r="E349">
        <v>348</v>
      </c>
      <c r="H349">
        <v>13024</v>
      </c>
      <c r="I349">
        <v>4</v>
      </c>
      <c r="J349" t="s">
        <v>771</v>
      </c>
      <c r="K349">
        <v>75000</v>
      </c>
      <c r="L349" t="s">
        <v>42</v>
      </c>
      <c r="M349">
        <v>59</v>
      </c>
      <c r="N349">
        <v>1324</v>
      </c>
      <c r="O349">
        <v>13</v>
      </c>
      <c r="P349">
        <v>24</v>
      </c>
      <c r="Q349">
        <v>59</v>
      </c>
      <c r="R349">
        <v>23.3</v>
      </c>
      <c r="S349">
        <v>1504</v>
      </c>
      <c r="T349">
        <v>1851</v>
      </c>
      <c r="U349" s="1">
        <v>45494</v>
      </c>
      <c r="V349" s="1">
        <v>45530</v>
      </c>
      <c r="W349">
        <v>131641</v>
      </c>
      <c r="X349">
        <v>0.86607630400000002</v>
      </c>
      <c r="Y349">
        <v>2137.2250819999999</v>
      </c>
      <c r="Z349">
        <f t="shared" ref="Z349:Z360" si="22">1-((0.95-X349)*0.5)</f>
        <v>0.95803815200000009</v>
      </c>
      <c r="AA349">
        <f t="shared" ref="AA349:AA357" si="23">T349/Z349</f>
        <v>1932.0733690363511</v>
      </c>
      <c r="AB349" cm="1">
        <f t="array" ref="AB349">_xlfn.IFS(X349&lt;0.6,T349,0.9&lt;X349,T349,X349,AA349)</f>
        <v>1932.0733690363511</v>
      </c>
      <c r="AC349">
        <v>0.95312670600000005</v>
      </c>
      <c r="AD349">
        <v>2081.4039659999999</v>
      </c>
      <c r="AE349">
        <v>2081.4039659999999</v>
      </c>
      <c r="AG349">
        <v>0</v>
      </c>
      <c r="AH349">
        <v>348</v>
      </c>
    </row>
    <row r="350" spans="1:34" x14ac:dyDescent="0.25">
      <c r="A350" t="s">
        <v>768</v>
      </c>
      <c r="B350" t="s">
        <v>1113</v>
      </c>
      <c r="D350" t="s">
        <v>770</v>
      </c>
      <c r="E350">
        <v>349</v>
      </c>
      <c r="H350">
        <v>12024</v>
      </c>
      <c r="I350">
        <v>4</v>
      </c>
      <c r="J350" t="s">
        <v>771</v>
      </c>
      <c r="K350">
        <v>75000</v>
      </c>
      <c r="L350" t="s">
        <v>78</v>
      </c>
      <c r="M350">
        <v>51</v>
      </c>
      <c r="N350">
        <v>1224</v>
      </c>
      <c r="O350">
        <v>12</v>
      </c>
      <c r="P350">
        <v>24</v>
      </c>
      <c r="Q350">
        <v>55</v>
      </c>
      <c r="R350">
        <v>22.2</v>
      </c>
      <c r="S350">
        <v>501</v>
      </c>
      <c r="T350">
        <v>625</v>
      </c>
      <c r="U350" s="1">
        <v>45493</v>
      </c>
      <c r="V350" s="1">
        <v>45528</v>
      </c>
      <c r="W350">
        <v>151269</v>
      </c>
      <c r="X350">
        <v>0.99519733700000002</v>
      </c>
      <c r="Y350">
        <v>628.01615000000004</v>
      </c>
      <c r="Z350">
        <f t="shared" si="22"/>
        <v>1.0225986685000001</v>
      </c>
      <c r="AA350">
        <f t="shared" si="23"/>
        <v>611.18796577036608</v>
      </c>
      <c r="AB350" cm="1">
        <f t="array" ref="AB350">_xlfn.IFS(X350&lt;0.6,T350,0.9&lt;X350,T350,X350,AA350)</f>
        <v>625</v>
      </c>
      <c r="AC350">
        <v>0.99831906800000003</v>
      </c>
      <c r="AD350">
        <v>627.55932949999999</v>
      </c>
      <c r="AE350">
        <v>625</v>
      </c>
      <c r="AG350">
        <v>0</v>
      </c>
      <c r="AH350">
        <v>349</v>
      </c>
    </row>
    <row r="351" spans="1:34" x14ac:dyDescent="0.25">
      <c r="A351" t="s">
        <v>768</v>
      </c>
      <c r="B351" t="s">
        <v>1114</v>
      </c>
      <c r="D351" t="s">
        <v>770</v>
      </c>
      <c r="E351">
        <v>350</v>
      </c>
      <c r="H351">
        <v>11024</v>
      </c>
      <c r="I351">
        <v>4</v>
      </c>
      <c r="J351" t="s">
        <v>771</v>
      </c>
      <c r="K351">
        <v>75000</v>
      </c>
      <c r="L351" t="s">
        <v>30</v>
      </c>
      <c r="M351">
        <v>60</v>
      </c>
      <c r="N351">
        <v>1124</v>
      </c>
      <c r="O351">
        <v>11</v>
      </c>
      <c r="P351">
        <v>24</v>
      </c>
      <c r="Q351">
        <v>30</v>
      </c>
      <c r="R351">
        <v>25.6</v>
      </c>
      <c r="S351">
        <v>1272</v>
      </c>
      <c r="T351">
        <v>1519</v>
      </c>
      <c r="U351" s="1">
        <v>45494</v>
      </c>
      <c r="V351" s="1">
        <v>45536</v>
      </c>
      <c r="W351">
        <v>108689</v>
      </c>
      <c r="X351">
        <v>0.71505450599999998</v>
      </c>
      <c r="Y351">
        <v>2124.3135830000001</v>
      </c>
      <c r="Z351">
        <f t="shared" si="22"/>
        <v>0.88252725300000001</v>
      </c>
      <c r="AA351">
        <f t="shared" si="23"/>
        <v>1721.1933057437263</v>
      </c>
      <c r="AB351" cm="1">
        <f t="array" ref="AB351">_xlfn.IFS(X351&lt;0.6,T351,0.9&lt;X351,T351,X351,AA351)</f>
        <v>1721.1933057437263</v>
      </c>
      <c r="AC351">
        <v>0.90026907700000003</v>
      </c>
      <c r="AD351">
        <v>1967.6031519999999</v>
      </c>
      <c r="AE351">
        <v>1967.6031519999999</v>
      </c>
      <c r="AG351">
        <v>0</v>
      </c>
      <c r="AH351">
        <v>350</v>
      </c>
    </row>
    <row r="352" spans="1:34" x14ac:dyDescent="0.25">
      <c r="A352" t="s">
        <v>768</v>
      </c>
      <c r="B352" t="s">
        <v>1115</v>
      </c>
      <c r="D352" t="s">
        <v>770</v>
      </c>
      <c r="E352">
        <v>351</v>
      </c>
      <c r="H352">
        <v>10024</v>
      </c>
      <c r="I352">
        <v>4</v>
      </c>
      <c r="J352" t="s">
        <v>771</v>
      </c>
      <c r="K352">
        <v>75000</v>
      </c>
      <c r="L352" t="s">
        <v>70</v>
      </c>
      <c r="M352">
        <v>52</v>
      </c>
      <c r="N352">
        <v>1024</v>
      </c>
      <c r="O352">
        <v>10</v>
      </c>
      <c r="P352">
        <v>24</v>
      </c>
      <c r="Q352">
        <v>55</v>
      </c>
      <c r="R352">
        <v>23</v>
      </c>
      <c r="S352">
        <v>1094</v>
      </c>
      <c r="T352">
        <v>1352</v>
      </c>
      <c r="U352" s="1">
        <v>45497</v>
      </c>
      <c r="V352" s="1">
        <v>45537</v>
      </c>
      <c r="W352">
        <v>116836</v>
      </c>
      <c r="X352">
        <v>0.76864778099999997</v>
      </c>
      <c r="Y352">
        <v>1758.9330689999999</v>
      </c>
      <c r="Z352">
        <f t="shared" si="22"/>
        <v>0.90932389050000006</v>
      </c>
      <c r="AA352">
        <f t="shared" si="23"/>
        <v>1486.8189587063312</v>
      </c>
      <c r="AB352" cm="1">
        <f t="array" ref="AB352">_xlfn.IFS(X352&lt;0.6,T352,0.9&lt;X352,T352,X352,AA352)</f>
        <v>1486.8189587063312</v>
      </c>
      <c r="AC352">
        <v>0.91902672299999999</v>
      </c>
      <c r="AD352">
        <v>1663.5551149999999</v>
      </c>
      <c r="AE352">
        <v>1663.5551149999999</v>
      </c>
      <c r="AG352">
        <v>0</v>
      </c>
      <c r="AH352">
        <v>351</v>
      </c>
    </row>
    <row r="353" spans="1:34" x14ac:dyDescent="0.25">
      <c r="A353" t="s">
        <v>768</v>
      </c>
      <c r="B353" t="s">
        <v>1116</v>
      </c>
      <c r="D353" t="s">
        <v>770</v>
      </c>
      <c r="E353">
        <v>352</v>
      </c>
      <c r="H353">
        <v>9024</v>
      </c>
      <c r="I353">
        <v>4</v>
      </c>
      <c r="J353" t="s">
        <v>771</v>
      </c>
      <c r="K353">
        <v>75000</v>
      </c>
      <c r="L353" t="s">
        <v>62</v>
      </c>
      <c r="M353">
        <v>58</v>
      </c>
      <c r="N353">
        <v>924</v>
      </c>
      <c r="O353">
        <v>9</v>
      </c>
      <c r="P353">
        <v>24</v>
      </c>
      <c r="Q353">
        <v>29</v>
      </c>
      <c r="R353">
        <v>23.3</v>
      </c>
      <c r="S353">
        <v>1460</v>
      </c>
      <c r="T353">
        <v>1797</v>
      </c>
      <c r="U353" s="1">
        <v>45500</v>
      </c>
      <c r="V353" s="1">
        <v>45535</v>
      </c>
      <c r="W353">
        <v>148936</v>
      </c>
      <c r="X353">
        <v>0.97983565900000003</v>
      </c>
      <c r="Y353">
        <v>1833.9810190000001</v>
      </c>
      <c r="Z353">
        <f t="shared" si="22"/>
        <v>1.0149178295000001</v>
      </c>
      <c r="AA353">
        <f t="shared" si="23"/>
        <v>1770.586689648849</v>
      </c>
      <c r="AB353" cm="1">
        <f t="array" ref="AB353">_xlfn.IFS(X353&lt;0.6,T353,0.9&lt;X353,T353,X353,AA353)</f>
        <v>1797</v>
      </c>
      <c r="AC353">
        <v>0.99294248100000004</v>
      </c>
      <c r="AD353">
        <v>1828.2047769999999</v>
      </c>
      <c r="AE353">
        <v>1797</v>
      </c>
      <c r="AG353">
        <v>0</v>
      </c>
      <c r="AH353">
        <v>352</v>
      </c>
    </row>
    <row r="354" spans="1:34" x14ac:dyDescent="0.25">
      <c r="A354" t="s">
        <v>768</v>
      </c>
      <c r="B354" t="s">
        <v>1117</v>
      </c>
      <c r="D354" t="s">
        <v>770</v>
      </c>
      <c r="E354">
        <v>353</v>
      </c>
      <c r="H354">
        <v>8024</v>
      </c>
      <c r="I354">
        <v>4</v>
      </c>
      <c r="J354" t="s">
        <v>771</v>
      </c>
      <c r="K354">
        <v>75000</v>
      </c>
      <c r="L354" t="s">
        <v>74</v>
      </c>
      <c r="M354">
        <v>46</v>
      </c>
      <c r="N354">
        <v>824</v>
      </c>
      <c r="O354">
        <v>8</v>
      </c>
      <c r="P354">
        <v>24</v>
      </c>
      <c r="Q354">
        <v>30</v>
      </c>
      <c r="R354">
        <v>25.2</v>
      </c>
      <c r="S354">
        <v>1433</v>
      </c>
      <c r="T354">
        <v>1720</v>
      </c>
      <c r="U354" s="1">
        <v>45496</v>
      </c>
      <c r="V354" s="1">
        <v>45538</v>
      </c>
      <c r="W354">
        <v>132174</v>
      </c>
      <c r="X354">
        <v>0.86956578900000003</v>
      </c>
      <c r="Y354">
        <v>1977.998699</v>
      </c>
      <c r="Z354">
        <f t="shared" si="22"/>
        <v>0.95978289449999998</v>
      </c>
      <c r="AA354">
        <f t="shared" si="23"/>
        <v>1792.0719465374887</v>
      </c>
      <c r="AB354" cm="1">
        <f t="array" ref="AB354">_xlfn.IFS(X354&lt;0.6,T354,0.9&lt;X354,T354,X354,AA354)</f>
        <v>1792.0719465374887</v>
      </c>
      <c r="AC354">
        <v>0.95434802600000002</v>
      </c>
      <c r="AD354">
        <v>1928.017229</v>
      </c>
      <c r="AE354">
        <v>1928.017229</v>
      </c>
      <c r="AG354">
        <v>0</v>
      </c>
      <c r="AH354">
        <v>353</v>
      </c>
    </row>
    <row r="355" spans="1:34" x14ac:dyDescent="0.25">
      <c r="A355" t="s">
        <v>768</v>
      </c>
      <c r="B355" t="s">
        <v>1118</v>
      </c>
      <c r="D355" t="s">
        <v>770</v>
      </c>
      <c r="E355">
        <v>354</v>
      </c>
      <c r="H355">
        <v>7024</v>
      </c>
      <c r="I355">
        <v>4</v>
      </c>
      <c r="J355" t="s">
        <v>771</v>
      </c>
      <c r="K355">
        <v>75000</v>
      </c>
      <c r="L355" t="s">
        <v>38</v>
      </c>
      <c r="M355">
        <v>48</v>
      </c>
      <c r="N355">
        <v>724</v>
      </c>
      <c r="O355">
        <v>7</v>
      </c>
      <c r="P355">
        <v>24</v>
      </c>
      <c r="Q355">
        <v>43</v>
      </c>
      <c r="R355">
        <v>20.5</v>
      </c>
      <c r="S355">
        <v>1832</v>
      </c>
      <c r="T355">
        <v>2337</v>
      </c>
      <c r="U355" s="1">
        <v>45492</v>
      </c>
      <c r="V355" s="1">
        <v>45536</v>
      </c>
      <c r="W355">
        <v>146315</v>
      </c>
      <c r="X355">
        <v>0.96259868400000004</v>
      </c>
      <c r="Y355">
        <v>2427.8030279999998</v>
      </c>
      <c r="Z355">
        <f t="shared" si="22"/>
        <v>1.0062993420000002</v>
      </c>
      <c r="AA355">
        <f t="shared" si="23"/>
        <v>2322.3705933815463</v>
      </c>
      <c r="AB355" cm="1">
        <f t="array" ref="AB355">_xlfn.IFS(X355&lt;0.6,T355,0.9&lt;X355,T355,X355,AA355)</f>
        <v>2337</v>
      </c>
      <c r="AC355">
        <v>0.986909539</v>
      </c>
      <c r="AD355">
        <v>2413.1252169999998</v>
      </c>
      <c r="AE355">
        <v>2337</v>
      </c>
      <c r="AG355">
        <v>0</v>
      </c>
      <c r="AH355">
        <v>354</v>
      </c>
    </row>
    <row r="356" spans="1:34" x14ac:dyDescent="0.25">
      <c r="A356" t="s">
        <v>768</v>
      </c>
      <c r="B356" t="s">
        <v>1119</v>
      </c>
      <c r="D356" t="s">
        <v>770</v>
      </c>
      <c r="E356">
        <v>355</v>
      </c>
      <c r="H356">
        <v>6024</v>
      </c>
      <c r="I356">
        <v>4</v>
      </c>
      <c r="J356" t="s">
        <v>771</v>
      </c>
      <c r="K356">
        <v>75000</v>
      </c>
      <c r="L356" t="s">
        <v>34</v>
      </c>
      <c r="M356">
        <v>56</v>
      </c>
      <c r="N356">
        <v>624</v>
      </c>
      <c r="O356">
        <v>6</v>
      </c>
      <c r="P356">
        <v>24</v>
      </c>
      <c r="Q356">
        <v>62</v>
      </c>
      <c r="R356">
        <v>24</v>
      </c>
      <c r="S356">
        <v>362</v>
      </c>
      <c r="T356">
        <v>441</v>
      </c>
      <c r="U356" s="1">
        <v>45489</v>
      </c>
      <c r="V356" s="1">
        <v>45529</v>
      </c>
      <c r="W356">
        <v>131093</v>
      </c>
      <c r="X356">
        <v>0.86246529599999999</v>
      </c>
      <c r="Y356">
        <v>511.32492200000002</v>
      </c>
      <c r="Z356">
        <f t="shared" si="22"/>
        <v>0.95623264800000007</v>
      </c>
      <c r="AA356">
        <f t="shared" si="23"/>
        <v>461.18483919407021</v>
      </c>
      <c r="AB356" cm="1">
        <f t="array" ref="AB356">_xlfn.IFS(X356&lt;0.6,T356,0.9&lt;X356,T356,X356,AA356)</f>
        <v>461.18483919407021</v>
      </c>
      <c r="AC356">
        <v>0.95186285400000004</v>
      </c>
      <c r="AD356">
        <v>497.51481439999998</v>
      </c>
      <c r="AE356">
        <v>497.51481439999998</v>
      </c>
      <c r="AG356">
        <v>0</v>
      </c>
      <c r="AH356">
        <v>355</v>
      </c>
    </row>
    <row r="357" spans="1:34" x14ac:dyDescent="0.25">
      <c r="A357" t="s">
        <v>768</v>
      </c>
      <c r="B357" s="2" t="s">
        <v>1120</v>
      </c>
      <c r="D357" t="s">
        <v>770</v>
      </c>
      <c r="E357">
        <v>356</v>
      </c>
      <c r="H357">
        <v>5024</v>
      </c>
      <c r="I357">
        <v>4</v>
      </c>
      <c r="J357" t="s">
        <v>771</v>
      </c>
      <c r="K357">
        <v>75000</v>
      </c>
      <c r="L357" t="s">
        <v>58</v>
      </c>
      <c r="M357">
        <v>54</v>
      </c>
      <c r="N357">
        <v>524</v>
      </c>
      <c r="O357">
        <v>5</v>
      </c>
      <c r="P357">
        <v>24</v>
      </c>
      <c r="Q357">
        <v>58.4</v>
      </c>
      <c r="R357">
        <v>20</v>
      </c>
      <c r="S357">
        <v>57</v>
      </c>
      <c r="T357">
        <v>73</v>
      </c>
      <c r="U357" s="1">
        <v>45493</v>
      </c>
      <c r="V357" s="1">
        <v>45523</v>
      </c>
      <c r="W357">
        <v>150103</v>
      </c>
      <c r="X357">
        <v>0.98751323999999996</v>
      </c>
      <c r="Y357">
        <v>73.923059499999994</v>
      </c>
      <c r="Z357">
        <f t="shared" si="22"/>
        <v>1.01875662</v>
      </c>
      <c r="AA357">
        <f t="shared" si="23"/>
        <v>71.655976085829025</v>
      </c>
      <c r="AB357" cm="1">
        <f t="array" ref="AB357">_xlfn.IFS(X357&lt;0.6,T357,0.9&lt;X357,T357,X357,AA357)</f>
        <v>73</v>
      </c>
      <c r="AC357">
        <v>0.99562963400000004</v>
      </c>
      <c r="AD357">
        <v>73.781080470000006</v>
      </c>
      <c r="AE357">
        <v>73</v>
      </c>
      <c r="AG357">
        <v>0</v>
      </c>
      <c r="AH357">
        <v>356</v>
      </c>
    </row>
    <row r="358" spans="1:34" x14ac:dyDescent="0.25">
      <c r="A358" t="s">
        <v>768</v>
      </c>
      <c r="B358" t="s">
        <v>1121</v>
      </c>
      <c r="D358" t="s">
        <v>770</v>
      </c>
      <c r="E358">
        <v>357</v>
      </c>
      <c r="H358">
        <v>4024</v>
      </c>
      <c r="I358">
        <v>4</v>
      </c>
      <c r="J358" t="s">
        <v>771</v>
      </c>
      <c r="K358">
        <v>75000</v>
      </c>
      <c r="L358" t="s">
        <v>50</v>
      </c>
      <c r="M358">
        <v>49</v>
      </c>
      <c r="N358">
        <v>424</v>
      </c>
      <c r="O358">
        <v>4</v>
      </c>
      <c r="P358">
        <v>24</v>
      </c>
      <c r="U358" s="1">
        <v>45494</v>
      </c>
      <c r="V358" s="1">
        <v>45534</v>
      </c>
      <c r="W358">
        <v>151574</v>
      </c>
      <c r="X358">
        <v>0.99719736800000003</v>
      </c>
      <c r="Z358">
        <f t="shared" si="22"/>
        <v>1.023598684</v>
      </c>
      <c r="AG358">
        <v>0</v>
      </c>
      <c r="AH358">
        <v>357</v>
      </c>
    </row>
    <row r="359" spans="1:34" x14ac:dyDescent="0.25">
      <c r="A359" t="s">
        <v>768</v>
      </c>
      <c r="B359" t="s">
        <v>1122</v>
      </c>
      <c r="D359" t="s">
        <v>770</v>
      </c>
      <c r="E359">
        <v>358</v>
      </c>
      <c r="H359">
        <v>3024</v>
      </c>
      <c r="I359">
        <v>4</v>
      </c>
      <c r="J359" t="s">
        <v>771</v>
      </c>
      <c r="K359">
        <v>75000</v>
      </c>
      <c r="L359" t="s">
        <v>54</v>
      </c>
      <c r="M359">
        <v>55</v>
      </c>
      <c r="N359">
        <v>324</v>
      </c>
      <c r="O359">
        <v>3</v>
      </c>
      <c r="P359">
        <v>24</v>
      </c>
      <c r="U359" s="1">
        <v>45492</v>
      </c>
      <c r="V359" s="1">
        <v>45523</v>
      </c>
      <c r="W359">
        <v>149865</v>
      </c>
      <c r="X359">
        <v>0.98594746099999997</v>
      </c>
      <c r="Z359">
        <f t="shared" si="22"/>
        <v>1.0179737305000001</v>
      </c>
      <c r="AG359">
        <v>0</v>
      </c>
      <c r="AH359">
        <v>358</v>
      </c>
    </row>
    <row r="360" spans="1:34" x14ac:dyDescent="0.25">
      <c r="A360" t="s">
        <v>768</v>
      </c>
      <c r="B360" t="s">
        <v>1123</v>
      </c>
      <c r="D360" t="s">
        <v>770</v>
      </c>
      <c r="E360">
        <v>359</v>
      </c>
      <c r="H360">
        <v>2024</v>
      </c>
      <c r="I360">
        <v>4</v>
      </c>
      <c r="J360" t="s">
        <v>771</v>
      </c>
      <c r="K360">
        <v>75000</v>
      </c>
      <c r="L360" t="s">
        <v>46</v>
      </c>
      <c r="M360">
        <v>50</v>
      </c>
      <c r="N360">
        <v>224</v>
      </c>
      <c r="O360">
        <v>2</v>
      </c>
      <c r="P360">
        <v>24</v>
      </c>
      <c r="Q360">
        <v>0</v>
      </c>
      <c r="R360">
        <v>21.4</v>
      </c>
      <c r="S360">
        <v>224</v>
      </c>
      <c r="T360">
        <v>283</v>
      </c>
      <c r="U360" s="1">
        <v>45501</v>
      </c>
      <c r="V360" s="1">
        <v>45526</v>
      </c>
      <c r="W360">
        <v>151780</v>
      </c>
      <c r="X360">
        <v>0.99855920099999995</v>
      </c>
      <c r="Y360">
        <v>283.4083344</v>
      </c>
      <c r="Z360">
        <f t="shared" si="22"/>
        <v>1.0242796004999999</v>
      </c>
      <c r="AA360">
        <f>T360/Z360</f>
        <v>276.29174676704889</v>
      </c>
      <c r="AB360" cm="1">
        <f t="array" ref="AB360">_xlfn.IFS(X360&lt;0.6,T360,0.9&lt;X360,T360,X360,AA360)</f>
        <v>283</v>
      </c>
      <c r="AC360">
        <v>0.99949571999999998</v>
      </c>
      <c r="AD360">
        <v>283.34690610000001</v>
      </c>
      <c r="AE360">
        <v>283</v>
      </c>
      <c r="AG360">
        <v>0</v>
      </c>
      <c r="AH360">
        <v>359</v>
      </c>
    </row>
    <row r="361" spans="1:34" x14ac:dyDescent="0.25">
      <c r="A361" t="s">
        <v>768</v>
      </c>
      <c r="B361" t="s">
        <v>1124</v>
      </c>
      <c r="D361" t="s">
        <v>770</v>
      </c>
      <c r="E361">
        <v>360</v>
      </c>
      <c r="H361">
        <v>1024</v>
      </c>
      <c r="I361">
        <v>4</v>
      </c>
      <c r="J361" t="s">
        <v>771</v>
      </c>
      <c r="K361">
        <v>75000</v>
      </c>
      <c r="L361" t="s">
        <v>66</v>
      </c>
      <c r="M361">
        <v>57</v>
      </c>
      <c r="N361">
        <v>124</v>
      </c>
      <c r="O361">
        <v>1</v>
      </c>
      <c r="P361">
        <v>24</v>
      </c>
      <c r="U361" s="1">
        <v>45499</v>
      </c>
      <c r="W361">
        <v>129602</v>
      </c>
      <c r="X361">
        <v>0.863431956</v>
      </c>
      <c r="AG361">
        <v>0</v>
      </c>
      <c r="AH361">
        <v>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613 Agronomy All VIs + Thresh +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Jackson</dc:creator>
  <cp:lastModifiedBy>Mason Jackson</cp:lastModifiedBy>
  <dcterms:created xsi:type="dcterms:W3CDTF">2026-01-15T18:37:23Z</dcterms:created>
  <dcterms:modified xsi:type="dcterms:W3CDTF">2026-01-15T19:53:04Z</dcterms:modified>
</cp:coreProperties>
</file>