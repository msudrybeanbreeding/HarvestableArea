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57E8E51F5AFE1D/Desktop/MSc/2024/beans/Yield - Registration Trial/"/>
    </mc:Choice>
  </mc:AlternateContent>
  <xr:revisionPtr revIDLastSave="23" documentId="8_{680D1F45-CB0C-4B8F-A5AF-05C262E05732}" xr6:coauthVersionLast="47" xr6:coauthVersionMax="47" xr10:uidLastSave="{2F17BD2E-2437-4EE5-AEEF-73439EF8A8DB}"/>
  <bookViews>
    <workbookView xWindow="-120" yWindow="-120" windowWidth="38640" windowHeight="21120" xr2:uid="{3872C4D0-F9DB-47FE-BEC9-BDF752A6AEC3}"/>
  </bookViews>
  <sheets>
    <sheet name="re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4" i="1" l="1" a="1"/>
  <c r="AS4" i="1" s="1"/>
  <c r="AS5" i="1" a="1"/>
  <c r="AS5" i="1" s="1"/>
  <c r="AS6" i="1" a="1"/>
  <c r="AS6" i="1" s="1"/>
  <c r="AS7" i="1" a="1"/>
  <c r="AS7" i="1" s="1"/>
  <c r="AS8" i="1" a="1"/>
  <c r="AS8" i="1" s="1"/>
  <c r="AS10" i="1" a="1"/>
  <c r="AS10" i="1" s="1"/>
  <c r="AS12" i="1" a="1"/>
  <c r="AS12" i="1" s="1"/>
  <c r="AS13" i="1" a="1"/>
  <c r="AS13" i="1" s="1"/>
  <c r="AS14" i="1" a="1"/>
  <c r="AS14" i="1"/>
  <c r="AS15" i="1" a="1"/>
  <c r="AS15" i="1" s="1"/>
  <c r="AS16" i="1" a="1"/>
  <c r="AS16" i="1"/>
  <c r="AS17" i="1" a="1"/>
  <c r="AS17" i="1" s="1"/>
  <c r="AS18" i="1" a="1"/>
  <c r="AS18" i="1"/>
  <c r="AS19" i="1" a="1"/>
  <c r="AS19" i="1" s="1"/>
  <c r="AS20" i="1" a="1"/>
  <c r="AS20" i="1"/>
  <c r="AS21" i="1" a="1"/>
  <c r="AS21" i="1" s="1"/>
  <c r="AS22" i="1" a="1"/>
  <c r="AS22" i="1"/>
  <c r="AS23" i="1" a="1"/>
  <c r="AS23" i="1" s="1"/>
  <c r="AS24" i="1" a="1"/>
  <c r="AS24" i="1"/>
  <c r="AS25" i="1" a="1"/>
  <c r="AS25" i="1" s="1"/>
  <c r="AS26" i="1" a="1"/>
  <c r="AS26" i="1" s="1"/>
  <c r="AS27" i="1" a="1"/>
  <c r="AS27" i="1" s="1"/>
  <c r="AS28" i="1" a="1"/>
  <c r="AS28" i="1"/>
  <c r="AS29" i="1" a="1"/>
  <c r="AS29" i="1" s="1"/>
  <c r="AS31" i="1" a="1"/>
  <c r="AS31" i="1" s="1"/>
  <c r="AS32" i="1" a="1"/>
  <c r="AS32" i="1"/>
  <c r="AS33" i="1" a="1"/>
  <c r="AS33" i="1" s="1"/>
  <c r="AS34" i="1" a="1"/>
  <c r="AS34" i="1" s="1"/>
  <c r="AS35" i="1" a="1"/>
  <c r="AS35" i="1" s="1"/>
  <c r="AS36" i="1" a="1"/>
  <c r="AS36" i="1"/>
  <c r="AS37" i="1" a="1"/>
  <c r="AS37" i="1" s="1"/>
  <c r="AS38" i="1" a="1"/>
  <c r="AS38" i="1"/>
  <c r="AS41" i="1" a="1"/>
  <c r="AS41" i="1" s="1"/>
  <c r="AS42" i="1" a="1"/>
  <c r="AS42" i="1"/>
  <c r="AS43" i="1" a="1"/>
  <c r="AS43" i="1" s="1"/>
  <c r="AS45" i="1" a="1"/>
  <c r="AS45" i="1" s="1"/>
  <c r="AS46" i="1" a="1"/>
  <c r="AS46" i="1"/>
  <c r="AS48" i="1" a="1"/>
  <c r="AS48" i="1"/>
  <c r="AS49" i="1" a="1"/>
  <c r="AS49" i="1" s="1"/>
  <c r="AS50" i="1" a="1"/>
  <c r="AS50" i="1"/>
  <c r="AS51" i="1" a="1"/>
  <c r="AS51" i="1" s="1"/>
  <c r="AS52" i="1" a="1"/>
  <c r="AS52" i="1"/>
  <c r="AS53" i="1" a="1"/>
  <c r="AS53" i="1" s="1"/>
  <c r="AS54" i="1" a="1"/>
  <c r="AS54" i="1"/>
  <c r="AS56" i="1" a="1"/>
  <c r="AS56" i="1"/>
  <c r="AS57" i="1" a="1"/>
  <c r="AS57" i="1"/>
  <c r="AS2" i="1" a="1"/>
  <c r="AS2" i="1" s="1"/>
  <c r="AR3" i="1"/>
  <c r="AS3" i="1" s="1" a="1"/>
  <c r="AS3" i="1" s="1"/>
  <c r="AR4" i="1"/>
  <c r="AR5" i="1"/>
  <c r="AR6" i="1"/>
  <c r="AR7" i="1"/>
  <c r="AR8" i="1"/>
  <c r="AR9" i="1"/>
  <c r="AS9" i="1" s="1" a="1"/>
  <c r="AS9" i="1" s="1"/>
  <c r="AR10" i="1"/>
  <c r="AR11" i="1"/>
  <c r="AS11" i="1" s="1" a="1"/>
  <c r="AS11" i="1" s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S30" i="1" s="1" a="1"/>
  <c r="AS30" i="1" s="1"/>
  <c r="AR31" i="1"/>
  <c r="AR32" i="1"/>
  <c r="AR33" i="1"/>
  <c r="AR34" i="1"/>
  <c r="AR35" i="1"/>
  <c r="AR36" i="1"/>
  <c r="AR37" i="1"/>
  <c r="AR38" i="1"/>
  <c r="AR39" i="1"/>
  <c r="AS39" i="1" s="1" a="1"/>
  <c r="AS39" i="1" s="1"/>
  <c r="AR40" i="1"/>
  <c r="AS40" i="1" s="1" a="1"/>
  <c r="AS40" i="1" s="1"/>
  <c r="AR41" i="1"/>
  <c r="AR42" i="1"/>
  <c r="AR43" i="1"/>
  <c r="AR44" i="1"/>
  <c r="AS44" i="1" s="1" a="1"/>
  <c r="AS44" i="1" s="1"/>
  <c r="AR45" i="1"/>
  <c r="AR46" i="1"/>
  <c r="AR47" i="1"/>
  <c r="AS47" i="1" s="1" a="1"/>
  <c r="AS47" i="1" s="1"/>
  <c r="AR48" i="1"/>
  <c r="AR49" i="1"/>
  <c r="AR50" i="1"/>
  <c r="AR51" i="1"/>
  <c r="AR52" i="1"/>
  <c r="AR53" i="1"/>
  <c r="AR54" i="1"/>
  <c r="AR55" i="1"/>
  <c r="AS55" i="1" s="1" a="1"/>
  <c r="AS55" i="1" s="1"/>
  <c r="AR56" i="1"/>
  <c r="AR57" i="1"/>
  <c r="AR2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<sst xmlns="http://schemas.openxmlformats.org/spreadsheetml/2006/main" count="510" uniqueCount="162">
  <si>
    <t>Plot Range</t>
  </si>
  <si>
    <t>Plot Column</t>
  </si>
  <si>
    <t>Experiment Name</t>
  </si>
  <si>
    <t>Experiment</t>
  </si>
  <si>
    <t>Plot</t>
  </si>
  <si>
    <t>Mason Plot Number</t>
  </si>
  <si>
    <t>Planter</t>
  </si>
  <si>
    <t>Cone</t>
  </si>
  <si>
    <t>Pass</t>
  </si>
  <si>
    <t>Pass Order</t>
  </si>
  <si>
    <t>Harvester</t>
  </si>
  <si>
    <t>Harvester Split</t>
  </si>
  <si>
    <t>Harvester Pass</t>
  </si>
  <si>
    <t>BARCODE_128</t>
  </si>
  <si>
    <t>Type</t>
  </si>
  <si>
    <t>Is Perennial</t>
  </si>
  <si>
    <t>Check</t>
  </si>
  <si>
    <t>ENTRY</t>
  </si>
  <si>
    <t>BLOCK</t>
  </si>
  <si>
    <t>Variety</t>
  </si>
  <si>
    <t>Original Name</t>
  </si>
  <si>
    <t>Pedigree</t>
  </si>
  <si>
    <t>Origin</t>
  </si>
  <si>
    <t>Selection</t>
  </si>
  <si>
    <t>Identity1</t>
  </si>
  <si>
    <t>Description1</t>
  </si>
  <si>
    <t>Fn</t>
  </si>
  <si>
    <t>Clone</t>
  </si>
  <si>
    <t>100 Seed weight</t>
  </si>
  <si>
    <t>Actual Plants per ha</t>
  </si>
  <si>
    <t>Moisture</t>
  </si>
  <si>
    <t>Plot Area</t>
  </si>
  <si>
    <t>Stand %</t>
  </si>
  <si>
    <t>Total weight</t>
  </si>
  <si>
    <t>Plot Weight</t>
  </si>
  <si>
    <t>Yield</t>
  </si>
  <si>
    <t>_mean</t>
  </si>
  <si>
    <t>AdjustedYield</t>
  </si>
  <si>
    <t>WeightedAdjustment</t>
  </si>
  <si>
    <t>WeightedYield</t>
  </si>
  <si>
    <t>AlgoYield</t>
  </si>
  <si>
    <t>Pallet</t>
  </si>
  <si>
    <t>BOX</t>
  </si>
  <si>
    <t>Row Spacing</t>
  </si>
  <si>
    <t>Density  (plants/a)</t>
  </si>
  <si>
    <t>Plot size</t>
  </si>
  <si>
    <t>Plot Length</t>
  </si>
  <si>
    <t>Existing Barcode</t>
  </si>
  <si>
    <t>Seed Mass</t>
  </si>
  <si>
    <t>Dry Weight</t>
  </si>
  <si>
    <t>Name 2</t>
  </si>
  <si>
    <t>Common Bacterial Blight</t>
  </si>
  <si>
    <t>Lodging</t>
  </si>
  <si>
    <t>Desirability score</t>
  </si>
  <si>
    <t>White Mold</t>
  </si>
  <si>
    <t>Height</t>
  </si>
  <si>
    <t>anthracnose</t>
  </si>
  <si>
    <t>Flowering Date</t>
  </si>
  <si>
    <t>Maturity Date</t>
  </si>
  <si>
    <t>Comments</t>
  </si>
  <si>
    <t>Plants Selected</t>
  </si>
  <si>
    <t>Population</t>
  </si>
  <si>
    <t>Population Selections</t>
  </si>
  <si>
    <t>Seed #</t>
  </si>
  <si>
    <t>Org Name</t>
  </si>
  <si>
    <t>Org Name 2</t>
  </si>
  <si>
    <t>Male parent</t>
  </si>
  <si>
    <t>Female parent</t>
  </si>
  <si>
    <t>F2 reps</t>
  </si>
  <si>
    <t>Planting Date</t>
  </si>
  <si>
    <t>Field Plan</t>
  </si>
  <si>
    <t>Location</t>
  </si>
  <si>
    <t>24110McGill Farm</t>
  </si>
  <si>
    <t>126A224814</t>
  </si>
  <si>
    <t>PVBLPI19 1</t>
  </si>
  <si>
    <t>2019 field trial</t>
  </si>
  <si>
    <t>black</t>
  </si>
  <si>
    <t>reg</t>
  </si>
  <si>
    <t>McGill Farm</t>
  </si>
  <si>
    <t>1B8148AEC2</t>
  </si>
  <si>
    <t>PVBLPI19 10</t>
  </si>
  <si>
    <t>1B6A8C4FD1</t>
  </si>
  <si>
    <t>Zorro</t>
  </si>
  <si>
    <t>MDP-8111</t>
  </si>
  <si>
    <t>BC088</t>
  </si>
  <si>
    <t>Phaseolus vulgaris</t>
  </si>
  <si>
    <t>1FF94BB63A</t>
  </si>
  <si>
    <t>black bear</t>
  </si>
  <si>
    <t>TV</t>
  </si>
  <si>
    <t>1F2E1AF9E3</t>
  </si>
  <si>
    <t>Blizzard</t>
  </si>
  <si>
    <t>navy</t>
  </si>
  <si>
    <t>1466AEC77F</t>
  </si>
  <si>
    <t>14827B84D1</t>
  </si>
  <si>
    <t>19E75C67C2</t>
  </si>
  <si>
    <t>1FB81365DA</t>
  </si>
  <si>
    <t>17535AB766</t>
  </si>
  <si>
    <t>1EA8118A83</t>
  </si>
  <si>
    <t>12036B6EEB</t>
  </si>
  <si>
    <t>1CEE360DBF</t>
  </si>
  <si>
    <t>126769FFE7</t>
  </si>
  <si>
    <t>132594C87F</t>
  </si>
  <si>
    <t>13D906D532</t>
  </si>
  <si>
    <t>1FF453F05E</t>
  </si>
  <si>
    <t>12E7BF7D9E</t>
  </si>
  <si>
    <t>12173E9C4D</t>
  </si>
  <si>
    <t>24111McGill Farm</t>
  </si>
  <si>
    <t>1521AA245A</t>
  </si>
  <si>
    <t>PVKIPI19 4</t>
  </si>
  <si>
    <t>white kidney</t>
  </si>
  <si>
    <t>1EA0D0C412</t>
  </si>
  <si>
    <t>1854B3EF9B</t>
  </si>
  <si>
    <t>Snowdon</t>
  </si>
  <si>
    <t>Control-01</t>
  </si>
  <si>
    <t>18F9FD1027</t>
  </si>
  <si>
    <t>PVKIPI19 10</t>
  </si>
  <si>
    <t>red kidney</t>
  </si>
  <si>
    <t>1739FC02D5</t>
  </si>
  <si>
    <t>Coho</t>
  </si>
  <si>
    <t>1D8B4C4659</t>
  </si>
  <si>
    <t>18F6D73BBC</t>
  </si>
  <si>
    <t>Redhawk</t>
  </si>
  <si>
    <t>dark red kidney</t>
  </si>
  <si>
    <t>1743D65E4E</t>
  </si>
  <si>
    <t>1CEA9EB09D</t>
  </si>
  <si>
    <t>116763E362</t>
  </si>
  <si>
    <t>19F4745E15</t>
  </si>
  <si>
    <t>1D987AA867</t>
  </si>
  <si>
    <t>1B4975217C</t>
  </si>
  <si>
    <t>19F7391378</t>
  </si>
  <si>
    <t>1BFC98FD7E</t>
  </si>
  <si>
    <t>24112McGill Farm</t>
  </si>
  <si>
    <t>1CF7A587EC</t>
  </si>
  <si>
    <t>ETNA</t>
  </si>
  <si>
    <t>cran</t>
  </si>
  <si>
    <t>17D436F73D</t>
  </si>
  <si>
    <t>PVCRPI19 3</t>
  </si>
  <si>
    <t>165763CEC9</t>
  </si>
  <si>
    <t>1419F87EC9</t>
  </si>
  <si>
    <t>1DBF71CABB</t>
  </si>
  <si>
    <t>17EF3384EC</t>
  </si>
  <si>
    <t>12E4E670BC</t>
  </si>
  <si>
    <t>Krimson</t>
  </si>
  <si>
    <t>153BDDAD00</t>
  </si>
  <si>
    <t>Navabi</t>
  </si>
  <si>
    <t>Cran</t>
  </si>
  <si>
    <t>1806D25156</t>
  </si>
  <si>
    <t>110CA7D452</t>
  </si>
  <si>
    <t>10DC308D39</t>
  </si>
  <si>
    <t>1A230F4A69</t>
  </si>
  <si>
    <t>1DD27ACABD</t>
  </si>
  <si>
    <t>1ABEECE0A8</t>
  </si>
  <si>
    <t>1179427BE4</t>
  </si>
  <si>
    <t>1B7C47C6BD</t>
  </si>
  <si>
    <t>1BA37E1BF9</t>
  </si>
  <si>
    <t>191918A153</t>
  </si>
  <si>
    <t>17087998A1</t>
  </si>
  <si>
    <t>147870E1BB</t>
  </si>
  <si>
    <t>2RowHA</t>
  </si>
  <si>
    <t>2Adjusted</t>
  </si>
  <si>
    <t>2Weighted</t>
  </si>
  <si>
    <t>2Algo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</si>
</sst>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F8BA-5DC4-4576-97AF-77CF40C50EB7}">
  <dimension ref="A1:BX57"/>
  <sheetViews>
    <sheetView tabSelected="1" workbookViewId="0">
      <selection activeCell="AN71" sqref="AN71"/>
    </sheetView>
  </sheetViews>
  <sheetFormatPr defaultRowHeight="15" x14ac:dyDescent="0.25"/>
  <cols>
    <col min="3" max="3" width="52.140625" customWidth="1"/>
    <col min="35" max="41" width="9.140625" style="3"/>
    <col min="42" max="45" width="9.140625" style="4"/>
  </cols>
  <sheetData>
    <row r="1" spans="1:7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4" t="s">
        <v>158</v>
      </c>
      <c r="AQ1" s="4" t="s">
        <v>159</v>
      </c>
      <c r="AR1" s="4" t="s">
        <v>160</v>
      </c>
      <c r="AS1" s="4" t="s">
        <v>161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t="s">
        <v>71</v>
      </c>
    </row>
    <row r="2" spans="1:76" x14ac:dyDescent="0.25">
      <c r="A2">
        <v>1</v>
      </c>
      <c r="B2">
        <v>1</v>
      </c>
      <c r="C2" t="s">
        <v>72</v>
      </c>
      <c r="D2">
        <v>24110</v>
      </c>
      <c r="E2">
        <v>41</v>
      </c>
      <c r="F2">
        <v>101</v>
      </c>
      <c r="G2">
        <v>1</v>
      </c>
      <c r="H2">
        <v>1</v>
      </c>
      <c r="I2">
        <v>1</v>
      </c>
      <c r="K2">
        <v>1</v>
      </c>
      <c r="L2" t="b">
        <v>0</v>
      </c>
      <c r="M2">
        <v>1</v>
      </c>
      <c r="N2" t="s">
        <v>73</v>
      </c>
      <c r="O2" t="s">
        <v>3</v>
      </c>
      <c r="P2" t="b">
        <v>0</v>
      </c>
      <c r="Q2">
        <v>0</v>
      </c>
      <c r="R2">
        <v>1</v>
      </c>
      <c r="S2">
        <v>1</v>
      </c>
      <c r="T2" t="s">
        <v>74</v>
      </c>
      <c r="W2" t="s">
        <v>75</v>
      </c>
      <c r="Z2" t="s">
        <v>76</v>
      </c>
      <c r="AA2">
        <v>0</v>
      </c>
      <c r="AB2">
        <v>0</v>
      </c>
      <c r="AC2">
        <v>27</v>
      </c>
      <c r="AE2">
        <v>18.8</v>
      </c>
      <c r="AI2" s="3">
        <v>1747</v>
      </c>
      <c r="AJ2" s="3">
        <v>2276.2580229999999</v>
      </c>
      <c r="AK2" s="3">
        <v>0.93044078900000005</v>
      </c>
      <c r="AL2" s="3">
        <v>2446.4297449999999</v>
      </c>
      <c r="AM2" s="3">
        <v>0.96522039500000001</v>
      </c>
      <c r="AN2" s="3">
        <v>2358.2780010000001</v>
      </c>
      <c r="AO2" s="3">
        <v>2276.2580229999999</v>
      </c>
      <c r="AP2" s="4">
        <v>0.92694175076643703</v>
      </c>
      <c r="AQ2" s="4">
        <f>AJ2/AP2</f>
        <v>2455.6645777557087</v>
      </c>
      <c r="AR2" s="4">
        <f>AJ2/(1-(1-AP2)*0.5)</f>
        <v>2362.5602819541618</v>
      </c>
      <c r="AS2" s="4" cm="1">
        <f t="array" ref="AS2">_xlfn.IFS(AP2&lt;0.5,AJ2,AP2&gt;0.9,AJ2,AP2,AR2)</f>
        <v>2276.2580229999999</v>
      </c>
      <c r="BE2">
        <v>5</v>
      </c>
      <c r="BJ2" s="1">
        <v>45497</v>
      </c>
      <c r="BK2" s="1">
        <v>45532</v>
      </c>
      <c r="BW2" t="s">
        <v>77</v>
      </c>
      <c r="BX2" t="s">
        <v>78</v>
      </c>
    </row>
    <row r="3" spans="1:76" x14ac:dyDescent="0.25">
      <c r="A3">
        <v>1</v>
      </c>
      <c r="B3">
        <v>2</v>
      </c>
      <c r="C3" t="s">
        <v>72</v>
      </c>
      <c r="D3">
        <v>24110</v>
      </c>
      <c r="E3">
        <v>42</v>
      </c>
      <c r="F3">
        <v>102</v>
      </c>
      <c r="G3">
        <v>16</v>
      </c>
      <c r="H3">
        <v>1</v>
      </c>
      <c r="I3">
        <v>2</v>
      </c>
      <c r="K3">
        <v>16</v>
      </c>
      <c r="L3" t="b">
        <v>0</v>
      </c>
      <c r="M3">
        <v>2</v>
      </c>
      <c r="N3" t="s">
        <v>79</v>
      </c>
      <c r="O3" t="s">
        <v>3</v>
      </c>
      <c r="P3" t="b">
        <v>0</v>
      </c>
      <c r="Q3">
        <v>0</v>
      </c>
      <c r="R3">
        <v>2</v>
      </c>
      <c r="S3">
        <v>1</v>
      </c>
      <c r="T3" t="s">
        <v>80</v>
      </c>
      <c r="Z3" t="s">
        <v>76</v>
      </c>
      <c r="AA3">
        <v>0</v>
      </c>
      <c r="AB3">
        <v>0</v>
      </c>
      <c r="AC3">
        <v>24</v>
      </c>
      <c r="AE3">
        <v>17.600000000000001</v>
      </c>
      <c r="AI3" s="3">
        <v>2083</v>
      </c>
      <c r="AJ3" s="3">
        <v>2754.1591779999999</v>
      </c>
      <c r="AK3" s="3">
        <v>0.89620531299999995</v>
      </c>
      <c r="AL3" s="3">
        <v>2914.1081549999999</v>
      </c>
      <c r="AM3" s="3">
        <v>0.94810265699999996</v>
      </c>
      <c r="AN3" s="3">
        <v>2904.9166340000002</v>
      </c>
      <c r="AO3" s="3">
        <v>2904.9166340000002</v>
      </c>
      <c r="AP3" s="4">
        <v>0.89861184210526301</v>
      </c>
      <c r="AQ3" s="4">
        <f t="shared" ref="AQ3:AQ57" si="0">AJ3/AP3</f>
        <v>3064.9041654598836</v>
      </c>
      <c r="AR3" s="4">
        <f t="shared" ref="AR3:AR57" si="1">AJ3/(1-(1-AP3)*0.5)</f>
        <v>2901.234593529206</v>
      </c>
      <c r="AS3" s="4" cm="1">
        <f t="array" ref="AS3">_xlfn.IFS(AP3&lt;0.5,AJ3,AP3&gt;0.9,AJ3,AP3,AR3)</f>
        <v>2901.234593529206</v>
      </c>
      <c r="BE3">
        <v>2</v>
      </c>
      <c r="BJ3" s="1">
        <v>45499</v>
      </c>
      <c r="BK3" s="1">
        <v>45532</v>
      </c>
      <c r="BW3" t="s">
        <v>77</v>
      </c>
      <c r="BX3" t="s">
        <v>78</v>
      </c>
    </row>
    <row r="4" spans="1:76" x14ac:dyDescent="0.25">
      <c r="A4">
        <v>1</v>
      </c>
      <c r="B4">
        <v>3</v>
      </c>
      <c r="C4" t="s">
        <v>72</v>
      </c>
      <c r="D4">
        <v>24110</v>
      </c>
      <c r="E4">
        <v>43</v>
      </c>
      <c r="F4">
        <v>103</v>
      </c>
      <c r="G4">
        <v>17</v>
      </c>
      <c r="H4">
        <v>1</v>
      </c>
      <c r="I4">
        <v>3</v>
      </c>
      <c r="K4">
        <v>17</v>
      </c>
      <c r="L4" t="b">
        <v>0</v>
      </c>
      <c r="M4">
        <v>3</v>
      </c>
      <c r="N4" t="s">
        <v>81</v>
      </c>
      <c r="O4" t="s">
        <v>3</v>
      </c>
      <c r="P4" t="b">
        <v>0</v>
      </c>
      <c r="Q4">
        <v>1</v>
      </c>
      <c r="R4">
        <v>3</v>
      </c>
      <c r="S4">
        <v>1</v>
      </c>
      <c r="T4" t="s">
        <v>82</v>
      </c>
      <c r="W4" t="s">
        <v>83</v>
      </c>
      <c r="Y4" t="s">
        <v>84</v>
      </c>
      <c r="Z4" t="s">
        <v>85</v>
      </c>
      <c r="AA4">
        <v>0</v>
      </c>
      <c r="AB4">
        <v>0</v>
      </c>
      <c r="AC4">
        <v>25</v>
      </c>
      <c r="AE4">
        <v>18.5</v>
      </c>
      <c r="AI4" s="3">
        <v>1595</v>
      </c>
      <c r="AJ4" s="3">
        <v>2085.8873560000002</v>
      </c>
      <c r="AK4" s="3">
        <v>0.93448598000000005</v>
      </c>
      <c r="AL4" s="3">
        <v>2262.236457</v>
      </c>
      <c r="AM4" s="3">
        <v>0.96724299000000002</v>
      </c>
      <c r="AN4" s="3">
        <v>2156.5287910000002</v>
      </c>
      <c r="AO4" s="3">
        <v>2085.8873560000002</v>
      </c>
      <c r="AP4" s="4">
        <v>0.93824301475667604</v>
      </c>
      <c r="AQ4" s="4">
        <f t="shared" si="0"/>
        <v>2223.1845302263764</v>
      </c>
      <c r="AR4" s="4">
        <f t="shared" si="1"/>
        <v>2152.3486375229982</v>
      </c>
      <c r="AS4" s="4" cm="1">
        <f t="array" ref="AS4">_xlfn.IFS(AP4&lt;0.5,AJ4,AP4&gt;0.9,AJ4,AP4,AR4)</f>
        <v>2085.8873560000002</v>
      </c>
      <c r="BE4">
        <v>4</v>
      </c>
      <c r="BJ4" s="1">
        <v>45499</v>
      </c>
      <c r="BK4" s="1">
        <v>45532</v>
      </c>
      <c r="BW4" t="s">
        <v>77</v>
      </c>
      <c r="BX4" t="s">
        <v>78</v>
      </c>
    </row>
    <row r="5" spans="1:76" x14ac:dyDescent="0.25">
      <c r="A5">
        <v>1</v>
      </c>
      <c r="B5">
        <v>4</v>
      </c>
      <c r="C5" t="s">
        <v>72</v>
      </c>
      <c r="D5">
        <v>24110</v>
      </c>
      <c r="E5">
        <v>44</v>
      </c>
      <c r="F5">
        <v>104</v>
      </c>
      <c r="G5">
        <v>32</v>
      </c>
      <c r="H5">
        <v>1</v>
      </c>
      <c r="I5">
        <v>4</v>
      </c>
      <c r="K5">
        <v>32</v>
      </c>
      <c r="L5" t="b">
        <v>0</v>
      </c>
      <c r="M5">
        <v>4</v>
      </c>
      <c r="N5" t="s">
        <v>86</v>
      </c>
      <c r="O5" t="s">
        <v>3</v>
      </c>
      <c r="P5" t="b">
        <v>0</v>
      </c>
      <c r="Q5">
        <v>2</v>
      </c>
      <c r="R5">
        <v>4</v>
      </c>
      <c r="S5">
        <v>1</v>
      </c>
      <c r="T5" t="s">
        <v>87</v>
      </c>
      <c r="Y5" t="s">
        <v>76</v>
      </c>
      <c r="Z5" t="s">
        <v>88</v>
      </c>
      <c r="AA5">
        <v>0</v>
      </c>
      <c r="AB5">
        <v>0</v>
      </c>
      <c r="AC5">
        <v>26</v>
      </c>
      <c r="AE5">
        <v>16.7</v>
      </c>
      <c r="AI5" s="3">
        <v>1943</v>
      </c>
      <c r="AJ5" s="3">
        <v>2597.1100769999998</v>
      </c>
      <c r="AK5" s="3">
        <v>0.95486213900000005</v>
      </c>
      <c r="AL5" s="3">
        <v>3461.5684860000001</v>
      </c>
      <c r="AM5" s="3">
        <v>0.97743106999999996</v>
      </c>
      <c r="AN5" s="3">
        <v>2657.0774740000002</v>
      </c>
      <c r="AO5" s="3">
        <v>2597.1100769999998</v>
      </c>
      <c r="AP5" s="4">
        <v>0.95886923284408898</v>
      </c>
      <c r="AQ5" s="4">
        <f t="shared" si="0"/>
        <v>2708.5133071761484</v>
      </c>
      <c r="AR5" s="4">
        <f t="shared" si="1"/>
        <v>2651.6421141897736</v>
      </c>
      <c r="AS5" s="4" cm="1">
        <f t="array" ref="AS5">_xlfn.IFS(AP5&lt;0.5,AJ5,AP5&gt;0.9,AJ5,AP5,AR5)</f>
        <v>2597.1100769999998</v>
      </c>
      <c r="BE5">
        <v>6</v>
      </c>
      <c r="BJ5" s="1">
        <v>45497</v>
      </c>
      <c r="BK5" s="1">
        <v>45530</v>
      </c>
      <c r="BW5" t="s">
        <v>77</v>
      </c>
      <c r="BX5" t="s">
        <v>78</v>
      </c>
    </row>
    <row r="6" spans="1:76" x14ac:dyDescent="0.25">
      <c r="A6">
        <v>1</v>
      </c>
      <c r="B6">
        <v>5</v>
      </c>
      <c r="C6" t="s">
        <v>72</v>
      </c>
      <c r="D6">
        <v>24110</v>
      </c>
      <c r="E6">
        <v>45</v>
      </c>
      <c r="F6">
        <v>105</v>
      </c>
      <c r="G6">
        <v>33</v>
      </c>
      <c r="H6">
        <v>1</v>
      </c>
      <c r="I6">
        <v>5</v>
      </c>
      <c r="K6">
        <v>33</v>
      </c>
      <c r="L6" t="b">
        <v>0</v>
      </c>
      <c r="M6">
        <v>5</v>
      </c>
      <c r="N6" t="s">
        <v>89</v>
      </c>
      <c r="O6" t="s">
        <v>3</v>
      </c>
      <c r="P6" t="b">
        <v>0</v>
      </c>
      <c r="Q6">
        <v>3</v>
      </c>
      <c r="R6">
        <v>5</v>
      </c>
      <c r="S6">
        <v>1</v>
      </c>
      <c r="T6" t="s">
        <v>90</v>
      </c>
      <c r="Y6" t="s">
        <v>91</v>
      </c>
      <c r="Z6" t="s">
        <v>88</v>
      </c>
      <c r="AA6">
        <v>0</v>
      </c>
      <c r="AB6">
        <v>0</v>
      </c>
      <c r="AC6">
        <v>24</v>
      </c>
      <c r="AE6">
        <v>18</v>
      </c>
      <c r="AI6" s="3">
        <v>1784</v>
      </c>
      <c r="AJ6" s="3">
        <v>2347.3684210000001</v>
      </c>
      <c r="AK6" s="3">
        <v>0.95219110399999995</v>
      </c>
      <c r="AL6" s="3">
        <v>2578.6122610000002</v>
      </c>
      <c r="AM6" s="3">
        <v>0.97609555199999998</v>
      </c>
      <c r="AN6" s="3">
        <v>2404.8551560000001</v>
      </c>
      <c r="AO6" s="3">
        <v>2347.3684210000001</v>
      </c>
      <c r="AP6" s="4">
        <v>0.95261717413616098</v>
      </c>
      <c r="AQ6" s="4">
        <f t="shared" si="0"/>
        <v>2464.1256579576238</v>
      </c>
      <c r="AR6" s="4">
        <f t="shared" si="1"/>
        <v>2404.3304054605351</v>
      </c>
      <c r="AS6" s="4" cm="1">
        <f t="array" ref="AS6">_xlfn.IFS(AP6&lt;0.5,AJ6,AP6&gt;0.9,AJ6,AP6,AR6)</f>
        <v>2347.3684210000001</v>
      </c>
      <c r="BE6">
        <v>5</v>
      </c>
      <c r="BJ6" s="1">
        <v>45500</v>
      </c>
      <c r="BK6" s="1">
        <v>45532</v>
      </c>
      <c r="BW6" t="s">
        <v>77</v>
      </c>
      <c r="BX6" t="s">
        <v>78</v>
      </c>
    </row>
    <row r="7" spans="1:76" x14ac:dyDescent="0.25">
      <c r="A7">
        <v>1</v>
      </c>
      <c r="B7">
        <v>6</v>
      </c>
      <c r="C7" t="s">
        <v>72</v>
      </c>
      <c r="D7">
        <v>24110</v>
      </c>
      <c r="E7">
        <v>46</v>
      </c>
      <c r="F7">
        <v>106</v>
      </c>
      <c r="G7">
        <v>48</v>
      </c>
      <c r="H7">
        <v>1</v>
      </c>
      <c r="I7">
        <v>6</v>
      </c>
      <c r="K7">
        <v>48</v>
      </c>
      <c r="L7" t="b">
        <v>0</v>
      </c>
      <c r="M7">
        <v>6</v>
      </c>
      <c r="N7" t="s">
        <v>92</v>
      </c>
      <c r="O7" t="s">
        <v>3</v>
      </c>
      <c r="P7" t="b">
        <v>0</v>
      </c>
      <c r="Q7">
        <v>0</v>
      </c>
      <c r="R7">
        <v>2</v>
      </c>
      <c r="S7">
        <v>2</v>
      </c>
      <c r="T7" t="s">
        <v>80</v>
      </c>
      <c r="Z7" t="s">
        <v>76</v>
      </c>
      <c r="AA7">
        <v>0</v>
      </c>
      <c r="AB7">
        <v>0</v>
      </c>
      <c r="AC7">
        <v>24</v>
      </c>
      <c r="AE7">
        <v>18</v>
      </c>
      <c r="AI7" s="3">
        <v>2109</v>
      </c>
      <c r="AJ7" s="3">
        <v>2775</v>
      </c>
      <c r="AK7" s="3">
        <v>0.95139441700000005</v>
      </c>
      <c r="AL7" s="3">
        <v>2895.0087509999998</v>
      </c>
      <c r="AM7" s="3">
        <v>0.97569720900000001</v>
      </c>
      <c r="AN7" s="3">
        <v>2844.1200570000001</v>
      </c>
      <c r="AO7" s="3">
        <v>2775</v>
      </c>
      <c r="AP7" s="4">
        <v>0.95719107111137403</v>
      </c>
      <c r="AQ7" s="4">
        <f t="shared" si="0"/>
        <v>2899.1076951626878</v>
      </c>
      <c r="AR7" s="4">
        <f t="shared" si="1"/>
        <v>2835.6965663288461</v>
      </c>
      <c r="AS7" s="4" cm="1">
        <f t="array" ref="AS7">_xlfn.IFS(AP7&lt;0.5,AJ7,AP7&gt;0.9,AJ7,AP7,AR7)</f>
        <v>2775</v>
      </c>
      <c r="BE7">
        <v>2</v>
      </c>
      <c r="BJ7" s="1">
        <v>45495</v>
      </c>
      <c r="BK7" s="1">
        <v>45533</v>
      </c>
      <c r="BW7" t="s">
        <v>77</v>
      </c>
      <c r="BX7" t="s">
        <v>78</v>
      </c>
    </row>
    <row r="8" spans="1:76" x14ac:dyDescent="0.25">
      <c r="A8">
        <v>1</v>
      </c>
      <c r="B8">
        <v>7</v>
      </c>
      <c r="C8" t="s">
        <v>72</v>
      </c>
      <c r="D8">
        <v>24110</v>
      </c>
      <c r="E8">
        <v>47</v>
      </c>
      <c r="F8">
        <v>107</v>
      </c>
      <c r="G8">
        <v>49</v>
      </c>
      <c r="H8">
        <v>1</v>
      </c>
      <c r="I8">
        <v>7</v>
      </c>
      <c r="K8">
        <v>49</v>
      </c>
      <c r="L8" t="b">
        <v>0</v>
      </c>
      <c r="M8">
        <v>7</v>
      </c>
      <c r="N8" t="s">
        <v>93</v>
      </c>
      <c r="O8" t="s">
        <v>3</v>
      </c>
      <c r="P8" t="b">
        <v>0</v>
      </c>
      <c r="Q8">
        <v>2</v>
      </c>
      <c r="R8">
        <v>4</v>
      </c>
      <c r="S8">
        <v>2</v>
      </c>
      <c r="T8" t="s">
        <v>87</v>
      </c>
      <c r="Y8" t="s">
        <v>76</v>
      </c>
      <c r="Z8" t="s">
        <v>88</v>
      </c>
      <c r="AA8">
        <v>0</v>
      </c>
      <c r="AB8">
        <v>0</v>
      </c>
      <c r="AC8">
        <v>29</v>
      </c>
      <c r="AE8">
        <v>15.8</v>
      </c>
      <c r="AI8" s="3">
        <v>1767</v>
      </c>
      <c r="AJ8" s="3">
        <v>2387.3780489999999</v>
      </c>
      <c r="AK8" s="3">
        <v>0.925230263</v>
      </c>
      <c r="AL8" s="3">
        <v>2492.9683810000001</v>
      </c>
      <c r="AM8" s="3">
        <v>0.96261513200000004</v>
      </c>
      <c r="AN8" s="3">
        <v>2480.0961160000002</v>
      </c>
      <c r="AO8" s="3">
        <v>2387.3780489999999</v>
      </c>
      <c r="AP8" s="4">
        <v>0.920599728950935</v>
      </c>
      <c r="AQ8" s="4">
        <f t="shared" si="0"/>
        <v>2593.2856310098255</v>
      </c>
      <c r="AR8" s="4">
        <f t="shared" si="1"/>
        <v>2486.0755867168923</v>
      </c>
      <c r="AS8" s="4" cm="1">
        <f t="array" ref="AS8">_xlfn.IFS(AP8&lt;0.5,AJ8,AP8&gt;0.9,AJ8,AP8,AR8)</f>
        <v>2387.3780489999999</v>
      </c>
      <c r="BE8">
        <v>4</v>
      </c>
      <c r="BJ8" s="1">
        <v>45499</v>
      </c>
      <c r="BK8" s="1">
        <v>45536</v>
      </c>
      <c r="BW8" t="s">
        <v>77</v>
      </c>
      <c r="BX8" t="s">
        <v>78</v>
      </c>
    </row>
    <row r="9" spans="1:76" x14ac:dyDescent="0.25">
      <c r="A9">
        <v>2</v>
      </c>
      <c r="B9">
        <v>1</v>
      </c>
      <c r="C9" t="s">
        <v>72</v>
      </c>
      <c r="D9">
        <v>24110</v>
      </c>
      <c r="E9">
        <v>54</v>
      </c>
      <c r="F9">
        <v>201</v>
      </c>
      <c r="G9">
        <v>2</v>
      </c>
      <c r="H9">
        <v>1</v>
      </c>
      <c r="I9">
        <v>1</v>
      </c>
      <c r="K9">
        <v>2</v>
      </c>
      <c r="L9" t="b">
        <v>0</v>
      </c>
      <c r="M9">
        <v>1</v>
      </c>
      <c r="N9" t="s">
        <v>94</v>
      </c>
      <c r="O9" t="s">
        <v>3</v>
      </c>
      <c r="P9" t="b">
        <v>0</v>
      </c>
      <c r="Q9">
        <v>0</v>
      </c>
      <c r="R9">
        <v>1</v>
      </c>
      <c r="S9">
        <v>3</v>
      </c>
      <c r="T9" t="s">
        <v>74</v>
      </c>
      <c r="W9" t="s">
        <v>75</v>
      </c>
      <c r="Z9" t="s">
        <v>76</v>
      </c>
      <c r="AA9">
        <v>0</v>
      </c>
      <c r="AB9">
        <v>0</v>
      </c>
      <c r="AC9">
        <v>25</v>
      </c>
      <c r="AE9">
        <v>17.5</v>
      </c>
      <c r="AI9" s="3">
        <v>1854</v>
      </c>
      <c r="AJ9" s="3">
        <v>2454.348524</v>
      </c>
      <c r="AK9" s="3">
        <v>0.89926448299999995</v>
      </c>
      <c r="AL9" s="3">
        <v>2738.6007289999998</v>
      </c>
      <c r="AM9" s="3">
        <v>0.94963224199999996</v>
      </c>
      <c r="AN9" s="3">
        <v>2584.5252679999999</v>
      </c>
      <c r="AO9" s="3">
        <v>2584.5252679999999</v>
      </c>
      <c r="AP9" s="4">
        <v>0.89819145926671495</v>
      </c>
      <c r="AQ9" s="4">
        <f t="shared" si="0"/>
        <v>2732.5449364701535</v>
      </c>
      <c r="AR9" s="4">
        <f t="shared" si="1"/>
        <v>2585.9862681587792</v>
      </c>
      <c r="AS9" s="4" cm="1">
        <f t="array" ref="AS9">_xlfn.IFS(AP9&lt;0.5,AJ9,AP9&gt;0.9,AJ9,AP9,AR9)</f>
        <v>2585.9862681587792</v>
      </c>
      <c r="BE9">
        <v>5</v>
      </c>
      <c r="BJ9" s="1">
        <v>45499</v>
      </c>
      <c r="BK9" s="1">
        <v>45532</v>
      </c>
      <c r="BW9" t="s">
        <v>77</v>
      </c>
      <c r="BX9" t="s">
        <v>78</v>
      </c>
    </row>
    <row r="10" spans="1:76" x14ac:dyDescent="0.25">
      <c r="A10">
        <v>2</v>
      </c>
      <c r="B10">
        <v>2</v>
      </c>
      <c r="C10" t="s">
        <v>72</v>
      </c>
      <c r="D10">
        <v>24110</v>
      </c>
      <c r="E10">
        <v>53</v>
      </c>
      <c r="F10">
        <v>202</v>
      </c>
      <c r="G10">
        <v>15</v>
      </c>
      <c r="H10">
        <v>1</v>
      </c>
      <c r="I10">
        <v>2</v>
      </c>
      <c r="K10">
        <v>15</v>
      </c>
      <c r="L10" t="b">
        <v>0</v>
      </c>
      <c r="M10">
        <v>2</v>
      </c>
      <c r="N10" t="s">
        <v>95</v>
      </c>
      <c r="O10" t="s">
        <v>3</v>
      </c>
      <c r="P10" t="b">
        <v>0</v>
      </c>
      <c r="Q10">
        <v>1</v>
      </c>
      <c r="R10">
        <v>3</v>
      </c>
      <c r="S10">
        <v>3</v>
      </c>
      <c r="T10" t="s">
        <v>82</v>
      </c>
      <c r="W10" t="s">
        <v>83</v>
      </c>
      <c r="Y10" t="s">
        <v>84</v>
      </c>
      <c r="Z10" t="s">
        <v>85</v>
      </c>
      <c r="AA10">
        <v>0</v>
      </c>
      <c r="AB10">
        <v>0</v>
      </c>
      <c r="AC10">
        <v>25</v>
      </c>
      <c r="AE10">
        <v>19</v>
      </c>
      <c r="AI10" s="3">
        <v>1852</v>
      </c>
      <c r="AJ10" s="3">
        <v>2407.124519</v>
      </c>
      <c r="AK10" s="3">
        <v>0.93647984500000003</v>
      </c>
      <c r="AL10" s="3">
        <v>2467.847761</v>
      </c>
      <c r="AM10" s="3">
        <v>0.96823992299999995</v>
      </c>
      <c r="AN10" s="3">
        <v>2486.0826980000002</v>
      </c>
      <c r="AO10" s="3">
        <v>2407.124519</v>
      </c>
      <c r="AP10" s="4">
        <v>0.93465789473684202</v>
      </c>
      <c r="AQ10" s="4">
        <f t="shared" si="0"/>
        <v>2575.4070366866572</v>
      </c>
      <c r="AR10" s="4">
        <f t="shared" si="1"/>
        <v>2488.4239488009575</v>
      </c>
      <c r="AS10" s="4" cm="1">
        <f t="array" ref="AS10">_xlfn.IFS(AP10&lt;0.5,AJ10,AP10&gt;0.9,AJ10,AP10,AR10)</f>
        <v>2407.124519</v>
      </c>
      <c r="BE10">
        <v>5</v>
      </c>
      <c r="BJ10" s="1">
        <v>45499</v>
      </c>
      <c r="BK10" s="1">
        <v>45531</v>
      </c>
      <c r="BW10" t="s">
        <v>77</v>
      </c>
      <c r="BX10" t="s">
        <v>78</v>
      </c>
    </row>
    <row r="11" spans="1:76" x14ac:dyDescent="0.25">
      <c r="A11">
        <v>2</v>
      </c>
      <c r="B11">
        <v>3</v>
      </c>
      <c r="C11" t="s">
        <v>72</v>
      </c>
      <c r="D11">
        <v>24110</v>
      </c>
      <c r="E11">
        <v>52</v>
      </c>
      <c r="F11">
        <v>203</v>
      </c>
      <c r="G11">
        <v>18</v>
      </c>
      <c r="H11">
        <v>1</v>
      </c>
      <c r="I11">
        <v>3</v>
      </c>
      <c r="K11">
        <v>18</v>
      </c>
      <c r="L11" t="b">
        <v>0</v>
      </c>
      <c r="M11">
        <v>3</v>
      </c>
      <c r="N11" t="s">
        <v>96</v>
      </c>
      <c r="O11" t="s">
        <v>3</v>
      </c>
      <c r="P11" t="b">
        <v>0</v>
      </c>
      <c r="Q11">
        <v>3</v>
      </c>
      <c r="R11">
        <v>5</v>
      </c>
      <c r="S11">
        <v>3</v>
      </c>
      <c r="T11" t="s">
        <v>90</v>
      </c>
      <c r="Y11" t="s">
        <v>91</v>
      </c>
      <c r="Z11" t="s">
        <v>88</v>
      </c>
      <c r="AA11">
        <v>0</v>
      </c>
      <c r="AB11">
        <v>0</v>
      </c>
      <c r="AC11">
        <v>24</v>
      </c>
      <c r="AE11">
        <v>18.8</v>
      </c>
      <c r="AI11" s="3">
        <v>1811</v>
      </c>
      <c r="AJ11" s="3">
        <v>2359.6469830000001</v>
      </c>
      <c r="AK11" s="3">
        <v>0.84957236800000002</v>
      </c>
      <c r="AL11" s="3">
        <v>2439.226756</v>
      </c>
      <c r="AM11" s="3">
        <v>0.92478618400000001</v>
      </c>
      <c r="AN11" s="3">
        <v>2551.55951</v>
      </c>
      <c r="AO11" s="3">
        <v>2551.55951</v>
      </c>
      <c r="AP11" s="4">
        <v>0.85020756988624802</v>
      </c>
      <c r="AQ11" s="4">
        <f t="shared" si="0"/>
        <v>2775.3775272968987</v>
      </c>
      <c r="AR11" s="4">
        <f t="shared" si="1"/>
        <v>2550.6835248167022</v>
      </c>
      <c r="AS11" s="4" cm="1">
        <f t="array" ref="AS11">_xlfn.IFS(AP11&lt;0.5,AJ11,AP11&gt;0.9,AJ11,AP11,AR11)</f>
        <v>2550.6835248167022</v>
      </c>
      <c r="BE11">
        <v>6</v>
      </c>
      <c r="BJ11" s="1">
        <v>45500</v>
      </c>
      <c r="BK11" s="1">
        <v>45535</v>
      </c>
      <c r="BW11" t="s">
        <v>77</v>
      </c>
      <c r="BX11" t="s">
        <v>78</v>
      </c>
    </row>
    <row r="12" spans="1:76" x14ac:dyDescent="0.25">
      <c r="A12">
        <v>2</v>
      </c>
      <c r="B12">
        <v>4</v>
      </c>
      <c r="C12" t="s">
        <v>72</v>
      </c>
      <c r="D12">
        <v>24110</v>
      </c>
      <c r="E12">
        <v>51</v>
      </c>
      <c r="F12">
        <v>204</v>
      </c>
      <c r="G12">
        <v>31</v>
      </c>
      <c r="H12">
        <v>1</v>
      </c>
      <c r="I12">
        <v>4</v>
      </c>
      <c r="K12">
        <v>31</v>
      </c>
      <c r="L12" t="b">
        <v>0</v>
      </c>
      <c r="M12">
        <v>4</v>
      </c>
      <c r="N12" t="s">
        <v>97</v>
      </c>
      <c r="O12" t="s">
        <v>3</v>
      </c>
      <c r="P12" t="b">
        <v>0</v>
      </c>
      <c r="Q12">
        <v>0</v>
      </c>
      <c r="R12">
        <v>2</v>
      </c>
      <c r="S12">
        <v>3</v>
      </c>
      <c r="T12" t="s">
        <v>80</v>
      </c>
      <c r="Z12" t="s">
        <v>76</v>
      </c>
      <c r="AA12">
        <v>0</v>
      </c>
      <c r="AB12">
        <v>0</v>
      </c>
      <c r="AC12">
        <v>23</v>
      </c>
      <c r="AE12">
        <v>17.899999999999999</v>
      </c>
      <c r="AI12" s="3">
        <v>1957</v>
      </c>
      <c r="AJ12" s="3">
        <v>2578.1402440000002</v>
      </c>
      <c r="AK12" s="3">
        <v>0.93382981799999998</v>
      </c>
      <c r="AL12" s="3">
        <v>2768.591445</v>
      </c>
      <c r="AM12" s="3">
        <v>0.96691490899999999</v>
      </c>
      <c r="AN12" s="3">
        <v>2666.3569050000001</v>
      </c>
      <c r="AO12" s="3">
        <v>2578.1402440000002</v>
      </c>
      <c r="AP12" s="4">
        <v>0.93614599711847801</v>
      </c>
      <c r="AQ12" s="4">
        <f t="shared" si="0"/>
        <v>2753.9937701338185</v>
      </c>
      <c r="AR12" s="4">
        <f t="shared" si="1"/>
        <v>2663.1671866036831</v>
      </c>
      <c r="AS12" s="4" cm="1">
        <f t="array" ref="AS12">_xlfn.IFS(AP12&lt;0.5,AJ12,AP12&gt;0.9,AJ12,AP12,AR12)</f>
        <v>2578.1402440000002</v>
      </c>
      <c r="BE12">
        <v>2</v>
      </c>
      <c r="BJ12" s="1">
        <v>45499</v>
      </c>
      <c r="BK12" s="1">
        <v>45532</v>
      </c>
      <c r="BW12" t="s">
        <v>77</v>
      </c>
      <c r="BX12" t="s">
        <v>78</v>
      </c>
    </row>
    <row r="13" spans="1:76" x14ac:dyDescent="0.25">
      <c r="A13">
        <v>2</v>
      </c>
      <c r="B13">
        <v>5</v>
      </c>
      <c r="C13" t="s">
        <v>72</v>
      </c>
      <c r="D13">
        <v>24110</v>
      </c>
      <c r="E13">
        <v>50</v>
      </c>
      <c r="F13">
        <v>205</v>
      </c>
      <c r="G13">
        <v>34</v>
      </c>
      <c r="H13">
        <v>1</v>
      </c>
      <c r="I13">
        <v>5</v>
      </c>
      <c r="K13">
        <v>34</v>
      </c>
      <c r="L13" t="b">
        <v>0</v>
      </c>
      <c r="M13">
        <v>5</v>
      </c>
      <c r="N13" t="s">
        <v>98</v>
      </c>
      <c r="O13" t="s">
        <v>3</v>
      </c>
      <c r="P13" t="b">
        <v>0</v>
      </c>
      <c r="Q13">
        <v>0</v>
      </c>
      <c r="R13">
        <v>1</v>
      </c>
      <c r="S13">
        <v>2</v>
      </c>
      <c r="T13" t="s">
        <v>74</v>
      </c>
      <c r="W13" t="s">
        <v>75</v>
      </c>
      <c r="Z13" t="s">
        <v>76</v>
      </c>
      <c r="AA13">
        <v>0</v>
      </c>
      <c r="AB13">
        <v>0</v>
      </c>
      <c r="AC13">
        <v>28</v>
      </c>
      <c r="AE13">
        <v>18.100000000000001</v>
      </c>
      <c r="AI13" s="3">
        <v>1958</v>
      </c>
      <c r="AJ13" s="3">
        <v>2573.173941</v>
      </c>
      <c r="AK13" s="3">
        <v>0.95052599000000004</v>
      </c>
      <c r="AL13" s="3">
        <v>2672.4782599999999</v>
      </c>
      <c r="AM13" s="3">
        <v>0.97526299500000002</v>
      </c>
      <c r="AN13" s="3">
        <v>2638.4410710000002</v>
      </c>
      <c r="AO13" s="3">
        <v>2573.173941</v>
      </c>
      <c r="AP13" s="4">
        <v>0.94685456387583999</v>
      </c>
      <c r="AQ13" s="4">
        <f t="shared" si="0"/>
        <v>2717.602089244846</v>
      </c>
      <c r="AR13" s="4">
        <f t="shared" si="1"/>
        <v>2643.4167078996084</v>
      </c>
      <c r="AS13" s="4" cm="1">
        <f t="array" ref="AS13">_xlfn.IFS(AP13&lt;0.5,AJ13,AP13&gt;0.9,AJ13,AP13,AR13)</f>
        <v>2573.173941</v>
      </c>
      <c r="BE13">
        <v>6</v>
      </c>
      <c r="BJ13" s="1">
        <v>45498</v>
      </c>
      <c r="BK13" s="1">
        <v>45534</v>
      </c>
      <c r="BW13" t="s">
        <v>77</v>
      </c>
      <c r="BX13" t="s">
        <v>78</v>
      </c>
    </row>
    <row r="14" spans="1:76" x14ac:dyDescent="0.25">
      <c r="A14">
        <v>2</v>
      </c>
      <c r="B14">
        <v>6</v>
      </c>
      <c r="C14" t="s">
        <v>72</v>
      </c>
      <c r="D14">
        <v>24110</v>
      </c>
      <c r="E14">
        <v>49</v>
      </c>
      <c r="F14">
        <v>206</v>
      </c>
      <c r="G14">
        <v>47</v>
      </c>
      <c r="H14">
        <v>1</v>
      </c>
      <c r="I14">
        <v>6</v>
      </c>
      <c r="K14">
        <v>47</v>
      </c>
      <c r="L14" t="b">
        <v>0</v>
      </c>
      <c r="M14">
        <v>6</v>
      </c>
      <c r="N14" t="s">
        <v>99</v>
      </c>
      <c r="O14" t="s">
        <v>3</v>
      </c>
      <c r="P14" t="b">
        <v>0</v>
      </c>
      <c r="Q14">
        <v>3</v>
      </c>
      <c r="R14">
        <v>5</v>
      </c>
      <c r="S14">
        <v>2</v>
      </c>
      <c r="T14" t="s">
        <v>90</v>
      </c>
      <c r="Y14" t="s">
        <v>91</v>
      </c>
      <c r="Z14" t="s">
        <v>88</v>
      </c>
      <c r="AA14">
        <v>0</v>
      </c>
      <c r="AB14">
        <v>0</v>
      </c>
      <c r="AC14">
        <v>25</v>
      </c>
      <c r="AE14">
        <v>18.5</v>
      </c>
      <c r="AI14" s="3">
        <v>1849</v>
      </c>
      <c r="AJ14" s="3">
        <v>2418.0600129999998</v>
      </c>
      <c r="AK14" s="3">
        <v>0.98472358400000004</v>
      </c>
      <c r="AL14" s="3">
        <v>2522.2875960000001</v>
      </c>
      <c r="AM14" s="3">
        <v>0.99236179199999996</v>
      </c>
      <c r="AN14" s="3">
        <v>2436.67182</v>
      </c>
      <c r="AO14" s="3">
        <v>2418.0600129999998</v>
      </c>
      <c r="AP14" s="4">
        <v>0.98512519572110901</v>
      </c>
      <c r="AQ14" s="4">
        <f t="shared" si="0"/>
        <v>2454.571280384303</v>
      </c>
      <c r="AR14" s="4">
        <f t="shared" si="1"/>
        <v>2436.1788548269615</v>
      </c>
      <c r="AS14" s="4" cm="1">
        <f t="array" ref="AS14">_xlfn.IFS(AP14&lt;0.5,AJ14,AP14&gt;0.9,AJ14,AP14,AR14)</f>
        <v>2418.0600129999998</v>
      </c>
      <c r="BE14">
        <v>7</v>
      </c>
      <c r="BJ14" s="1">
        <v>45500</v>
      </c>
      <c r="BK14" s="1">
        <v>45534</v>
      </c>
      <c r="BW14" t="s">
        <v>77</v>
      </c>
      <c r="BX14" t="s">
        <v>78</v>
      </c>
    </row>
    <row r="15" spans="1:76" x14ac:dyDescent="0.25">
      <c r="A15">
        <v>2</v>
      </c>
      <c r="B15">
        <v>7</v>
      </c>
      <c r="C15" t="s">
        <v>72</v>
      </c>
      <c r="D15">
        <v>24110</v>
      </c>
      <c r="E15">
        <v>48</v>
      </c>
      <c r="F15">
        <v>207</v>
      </c>
      <c r="G15">
        <v>50</v>
      </c>
      <c r="H15">
        <v>1</v>
      </c>
      <c r="I15">
        <v>7</v>
      </c>
      <c r="K15">
        <v>50</v>
      </c>
      <c r="L15" t="b">
        <v>0</v>
      </c>
      <c r="M15">
        <v>7</v>
      </c>
      <c r="N15" s="2">
        <v>1.8365060000000001E+74</v>
      </c>
      <c r="O15" t="s">
        <v>3</v>
      </c>
      <c r="P15" t="b">
        <v>0</v>
      </c>
      <c r="Q15">
        <v>1</v>
      </c>
      <c r="R15">
        <v>3</v>
      </c>
      <c r="S15">
        <v>2</v>
      </c>
      <c r="T15" t="s">
        <v>82</v>
      </c>
      <c r="W15" t="s">
        <v>83</v>
      </c>
      <c r="Y15" t="s">
        <v>84</v>
      </c>
      <c r="Z15" t="s">
        <v>85</v>
      </c>
      <c r="AA15">
        <v>0</v>
      </c>
      <c r="AB15">
        <v>0</v>
      </c>
      <c r="AC15">
        <v>23</v>
      </c>
      <c r="AE15">
        <v>16.8</v>
      </c>
      <c r="AI15" s="3">
        <v>1577</v>
      </c>
      <c r="AJ15" s="3">
        <v>2105.3658540000001</v>
      </c>
      <c r="AK15" s="3">
        <v>0.90104735499999999</v>
      </c>
      <c r="AL15" s="3">
        <v>2281.3808629999999</v>
      </c>
      <c r="AM15" s="3">
        <v>0.95052367699999996</v>
      </c>
      <c r="AN15" s="3">
        <v>2214.953614</v>
      </c>
      <c r="AO15" s="3">
        <v>2105.3658540000001</v>
      </c>
      <c r="AP15" s="4">
        <v>0.90816386949914096</v>
      </c>
      <c r="AQ15" s="4">
        <f t="shared" si="0"/>
        <v>2318.2664766889757</v>
      </c>
      <c r="AR15" s="4">
        <f t="shared" si="1"/>
        <v>2206.6929236561023</v>
      </c>
      <c r="AS15" s="4" cm="1">
        <f t="array" ref="AS15">_xlfn.IFS(AP15&lt;0.5,AJ15,AP15&gt;0.9,AJ15,AP15,AR15)</f>
        <v>2105.3658540000001</v>
      </c>
      <c r="BE15">
        <v>7</v>
      </c>
      <c r="BJ15" s="1">
        <v>45497</v>
      </c>
      <c r="BK15" s="1">
        <v>45533</v>
      </c>
      <c r="BW15" t="s">
        <v>77</v>
      </c>
      <c r="BX15" t="s">
        <v>78</v>
      </c>
    </row>
    <row r="16" spans="1:76" x14ac:dyDescent="0.25">
      <c r="A16">
        <v>3</v>
      </c>
      <c r="B16">
        <v>1</v>
      </c>
      <c r="C16" t="s">
        <v>72</v>
      </c>
      <c r="D16">
        <v>24110</v>
      </c>
      <c r="E16">
        <v>55</v>
      </c>
      <c r="F16">
        <v>301</v>
      </c>
      <c r="G16">
        <v>3</v>
      </c>
      <c r="H16">
        <v>1</v>
      </c>
      <c r="I16">
        <v>1</v>
      </c>
      <c r="K16">
        <v>3</v>
      </c>
      <c r="L16" t="b">
        <v>0</v>
      </c>
      <c r="M16">
        <v>1</v>
      </c>
      <c r="N16" t="s">
        <v>100</v>
      </c>
      <c r="O16" t="s">
        <v>3</v>
      </c>
      <c r="P16" t="b">
        <v>0</v>
      </c>
      <c r="Q16">
        <v>2</v>
      </c>
      <c r="R16">
        <v>4</v>
      </c>
      <c r="S16">
        <v>3</v>
      </c>
      <c r="T16" t="s">
        <v>87</v>
      </c>
      <c r="Y16" t="s">
        <v>76</v>
      </c>
      <c r="Z16" t="s">
        <v>88</v>
      </c>
      <c r="AA16">
        <v>0</v>
      </c>
      <c r="AB16">
        <v>0</v>
      </c>
      <c r="AC16">
        <v>25</v>
      </c>
      <c r="AE16">
        <v>18.3</v>
      </c>
      <c r="AI16" s="3">
        <v>1884</v>
      </c>
      <c r="AJ16" s="3">
        <v>2469.8780489999999</v>
      </c>
      <c r="AK16" s="3">
        <v>0.97539425099999999</v>
      </c>
      <c r="AL16" s="3">
        <v>2643.0338190000002</v>
      </c>
      <c r="AM16" s="3">
        <v>0.98769712600000004</v>
      </c>
      <c r="AN16" s="3">
        <v>2500.6431480000001</v>
      </c>
      <c r="AO16" s="3">
        <v>2469.8780489999999</v>
      </c>
      <c r="AP16" s="4">
        <v>0.97549983881472901</v>
      </c>
      <c r="AQ16" s="4">
        <f t="shared" si="0"/>
        <v>2531.9102584383813</v>
      </c>
      <c r="AR16" s="4">
        <f t="shared" si="1"/>
        <v>2500.5094917971655</v>
      </c>
      <c r="AS16" s="4" cm="1">
        <f t="array" ref="AS16">_xlfn.IFS(AP16&lt;0.5,AJ16,AP16&gt;0.9,AJ16,AP16,AR16)</f>
        <v>2469.8780489999999</v>
      </c>
      <c r="BE16">
        <v>5</v>
      </c>
      <c r="BJ16" s="1">
        <v>45499</v>
      </c>
      <c r="BK16" s="1">
        <v>45535</v>
      </c>
      <c r="BW16" t="s">
        <v>77</v>
      </c>
      <c r="BX16" t="s">
        <v>78</v>
      </c>
    </row>
    <row r="17" spans="1:76" x14ac:dyDescent="0.25">
      <c r="A17">
        <v>3</v>
      </c>
      <c r="B17">
        <v>2</v>
      </c>
      <c r="C17" t="s">
        <v>72</v>
      </c>
      <c r="D17">
        <v>24110</v>
      </c>
      <c r="E17">
        <v>56</v>
      </c>
      <c r="F17">
        <v>302</v>
      </c>
      <c r="G17">
        <v>14</v>
      </c>
      <c r="H17">
        <v>1</v>
      </c>
      <c r="I17">
        <v>2</v>
      </c>
      <c r="K17">
        <v>14</v>
      </c>
      <c r="L17" t="b">
        <v>0</v>
      </c>
      <c r="M17">
        <v>2</v>
      </c>
      <c r="N17" t="s">
        <v>101</v>
      </c>
      <c r="O17" t="s">
        <v>3</v>
      </c>
      <c r="P17" t="b">
        <v>0</v>
      </c>
      <c r="Q17">
        <v>0</v>
      </c>
      <c r="R17">
        <v>1</v>
      </c>
      <c r="S17">
        <v>4</v>
      </c>
      <c r="T17" t="s">
        <v>74</v>
      </c>
      <c r="W17" t="s">
        <v>75</v>
      </c>
      <c r="Z17" t="s">
        <v>76</v>
      </c>
      <c r="AA17">
        <v>0</v>
      </c>
      <c r="AB17">
        <v>0</v>
      </c>
      <c r="AC17">
        <v>25</v>
      </c>
      <c r="AE17">
        <v>17.600000000000001</v>
      </c>
      <c r="AI17" s="3">
        <v>2029</v>
      </c>
      <c r="AJ17" s="3">
        <v>2682.7599489999998</v>
      </c>
      <c r="AK17" s="3">
        <v>0.94511220299999998</v>
      </c>
      <c r="AL17" s="3">
        <v>2977.3795289999998</v>
      </c>
      <c r="AM17" s="3">
        <v>0.97255610199999998</v>
      </c>
      <c r="AN17" s="3">
        <v>2758.4629249999998</v>
      </c>
      <c r="AO17" s="3">
        <v>2682.7599489999998</v>
      </c>
      <c r="AP17" s="4">
        <v>0.94867172800357902</v>
      </c>
      <c r="AQ17" s="4">
        <f t="shared" si="0"/>
        <v>2827.9117737024822</v>
      </c>
      <c r="AR17" s="4">
        <f t="shared" si="1"/>
        <v>2753.4242021856567</v>
      </c>
      <c r="AS17" s="4" cm="1">
        <f t="array" ref="AS17">_xlfn.IFS(AP17&lt;0.5,AJ17,AP17&gt;0.9,AJ17,AP17,AR17)</f>
        <v>2682.7599489999998</v>
      </c>
      <c r="BE17">
        <v>3</v>
      </c>
      <c r="BJ17" s="1">
        <v>45497</v>
      </c>
      <c r="BK17" s="1">
        <v>45534</v>
      </c>
      <c r="BW17" t="s">
        <v>77</v>
      </c>
      <c r="BX17" t="s">
        <v>78</v>
      </c>
    </row>
    <row r="18" spans="1:76" x14ac:dyDescent="0.25">
      <c r="A18">
        <v>3</v>
      </c>
      <c r="B18">
        <v>3</v>
      </c>
      <c r="C18" t="s">
        <v>72</v>
      </c>
      <c r="D18">
        <v>24110</v>
      </c>
      <c r="E18">
        <v>57</v>
      </c>
      <c r="F18">
        <v>303</v>
      </c>
      <c r="G18">
        <v>19</v>
      </c>
      <c r="H18">
        <v>1</v>
      </c>
      <c r="I18">
        <v>3</v>
      </c>
      <c r="K18">
        <v>19</v>
      </c>
      <c r="L18" t="b">
        <v>0</v>
      </c>
      <c r="M18">
        <v>3</v>
      </c>
      <c r="N18" t="s">
        <v>102</v>
      </c>
      <c r="O18" t="s">
        <v>3</v>
      </c>
      <c r="P18" t="b">
        <v>0</v>
      </c>
      <c r="Q18">
        <v>0</v>
      </c>
      <c r="R18">
        <v>2</v>
      </c>
      <c r="S18">
        <v>4</v>
      </c>
      <c r="T18" t="s">
        <v>80</v>
      </c>
      <c r="Z18" t="s">
        <v>76</v>
      </c>
      <c r="AA18">
        <v>0</v>
      </c>
      <c r="AB18">
        <v>0</v>
      </c>
      <c r="AC18">
        <v>26</v>
      </c>
      <c r="AE18">
        <v>18.399999999999999</v>
      </c>
      <c r="AI18" s="3">
        <v>1921</v>
      </c>
      <c r="AJ18" s="3">
        <v>2515.3016689999999</v>
      </c>
      <c r="AK18" s="3">
        <v>0.92204656500000004</v>
      </c>
      <c r="AL18" s="3">
        <v>2639.5342489999998</v>
      </c>
      <c r="AM18" s="3">
        <v>0.96102328299999995</v>
      </c>
      <c r="AN18" s="3">
        <v>2617.316057</v>
      </c>
      <c r="AO18" s="3">
        <v>2515.3016689999999</v>
      </c>
      <c r="AP18" s="4">
        <v>0.91847919051566496</v>
      </c>
      <c r="AQ18" s="4">
        <f t="shared" si="0"/>
        <v>2738.5505245772911</v>
      </c>
      <c r="AR18" s="4">
        <f t="shared" si="1"/>
        <v>2622.1829055377098</v>
      </c>
      <c r="AS18" s="4" cm="1">
        <f t="array" ref="AS18">_xlfn.IFS(AP18&lt;0.5,AJ18,AP18&gt;0.9,AJ18,AP18,AR18)</f>
        <v>2515.3016689999999</v>
      </c>
      <c r="BE18">
        <v>2</v>
      </c>
      <c r="BJ18" s="1">
        <v>45494</v>
      </c>
      <c r="BK18" s="1">
        <v>45532</v>
      </c>
      <c r="BW18" t="s">
        <v>77</v>
      </c>
      <c r="BX18" t="s">
        <v>78</v>
      </c>
    </row>
    <row r="19" spans="1:76" x14ac:dyDescent="0.25">
      <c r="A19">
        <v>3</v>
      </c>
      <c r="B19">
        <v>4</v>
      </c>
      <c r="C19" t="s">
        <v>72</v>
      </c>
      <c r="D19">
        <v>24110</v>
      </c>
      <c r="E19">
        <v>58</v>
      </c>
      <c r="F19">
        <v>304</v>
      </c>
      <c r="G19">
        <v>30</v>
      </c>
      <c r="H19">
        <v>1</v>
      </c>
      <c r="I19">
        <v>4</v>
      </c>
      <c r="K19">
        <v>30</v>
      </c>
      <c r="L19" t="b">
        <v>0</v>
      </c>
      <c r="M19">
        <v>4</v>
      </c>
      <c r="N19" t="s">
        <v>103</v>
      </c>
      <c r="O19" t="s">
        <v>3</v>
      </c>
      <c r="P19" t="b">
        <v>0</v>
      </c>
      <c r="Q19">
        <v>1</v>
      </c>
      <c r="R19">
        <v>3</v>
      </c>
      <c r="S19">
        <v>4</v>
      </c>
      <c r="T19" t="s">
        <v>82</v>
      </c>
      <c r="W19" t="s">
        <v>83</v>
      </c>
      <c r="Y19" t="s">
        <v>84</v>
      </c>
      <c r="Z19" t="s">
        <v>85</v>
      </c>
      <c r="AA19">
        <v>0</v>
      </c>
      <c r="AB19">
        <v>0</v>
      </c>
      <c r="AC19">
        <v>26</v>
      </c>
      <c r="AE19">
        <v>18.3</v>
      </c>
      <c r="AI19" s="3">
        <v>1553</v>
      </c>
      <c r="AJ19" s="3">
        <v>2035.9451220000001</v>
      </c>
      <c r="AK19" s="3">
        <v>0.96737499999999998</v>
      </c>
      <c r="AL19" s="3">
        <v>2226.6588750000001</v>
      </c>
      <c r="AM19" s="3">
        <v>0.98368750000000005</v>
      </c>
      <c r="AN19" s="3">
        <v>2069.7072210000001</v>
      </c>
      <c r="AO19" s="3">
        <v>2035.9451220000001</v>
      </c>
      <c r="AP19" s="4">
        <v>0.964243185810433</v>
      </c>
      <c r="AQ19" s="4">
        <f t="shared" si="0"/>
        <v>2111.4436191621271</v>
      </c>
      <c r="AR19" s="4">
        <f t="shared" si="1"/>
        <v>2073.007188425076</v>
      </c>
      <c r="AS19" s="4" cm="1">
        <f t="array" ref="AS19">_xlfn.IFS(AP19&lt;0.5,AJ19,AP19&gt;0.9,AJ19,AP19,AR19)</f>
        <v>2035.9451220000001</v>
      </c>
      <c r="BE19">
        <v>2</v>
      </c>
      <c r="BJ19" s="1">
        <v>45498</v>
      </c>
      <c r="BK19" s="1">
        <v>45532</v>
      </c>
      <c r="BW19" t="s">
        <v>77</v>
      </c>
      <c r="BX19" t="s">
        <v>78</v>
      </c>
    </row>
    <row r="20" spans="1:76" x14ac:dyDescent="0.25">
      <c r="A20">
        <v>3</v>
      </c>
      <c r="B20">
        <v>5</v>
      </c>
      <c r="C20" t="s">
        <v>72</v>
      </c>
      <c r="D20">
        <v>24110</v>
      </c>
      <c r="E20">
        <v>59</v>
      </c>
      <c r="F20">
        <v>305</v>
      </c>
      <c r="G20">
        <v>35</v>
      </c>
      <c r="H20">
        <v>1</v>
      </c>
      <c r="I20">
        <v>5</v>
      </c>
      <c r="K20">
        <v>35</v>
      </c>
      <c r="L20" t="b">
        <v>0</v>
      </c>
      <c r="M20">
        <v>5</v>
      </c>
      <c r="N20" t="s">
        <v>104</v>
      </c>
      <c r="O20" t="s">
        <v>3</v>
      </c>
      <c r="P20" t="b">
        <v>0</v>
      </c>
      <c r="Q20">
        <v>3</v>
      </c>
      <c r="R20">
        <v>5</v>
      </c>
      <c r="S20">
        <v>4</v>
      </c>
      <c r="T20" t="s">
        <v>90</v>
      </c>
      <c r="Y20" t="s">
        <v>91</v>
      </c>
      <c r="Z20" t="s">
        <v>88</v>
      </c>
      <c r="AA20">
        <v>0</v>
      </c>
      <c r="AB20">
        <v>0</v>
      </c>
      <c r="AC20">
        <v>24</v>
      </c>
      <c r="AE20">
        <v>18.399999999999999</v>
      </c>
      <c r="AI20" s="3">
        <v>1772</v>
      </c>
      <c r="AJ20" s="3">
        <v>2320.2053919999998</v>
      </c>
      <c r="AK20" s="3">
        <v>0.95293390099999997</v>
      </c>
      <c r="AL20" s="3">
        <v>2513.0322890000002</v>
      </c>
      <c r="AM20" s="3">
        <v>0.97646694999999994</v>
      </c>
      <c r="AN20" s="3">
        <v>2376.1228080000001</v>
      </c>
      <c r="AO20" s="3">
        <v>2320.2053919999998</v>
      </c>
      <c r="AP20" s="4">
        <v>0.95057301877606903</v>
      </c>
      <c r="AQ20" s="4">
        <f t="shared" si="0"/>
        <v>2440.849199556948</v>
      </c>
      <c r="AR20" s="4">
        <f t="shared" si="1"/>
        <v>2378.9987554076442</v>
      </c>
      <c r="AS20" s="4" cm="1">
        <f t="array" ref="AS20">_xlfn.IFS(AP20&lt;0.5,AJ20,AP20&gt;0.9,AJ20,AP20,AR20)</f>
        <v>2320.2053919999998</v>
      </c>
      <c r="BE20">
        <v>4</v>
      </c>
      <c r="BJ20" s="1">
        <v>45500</v>
      </c>
      <c r="BK20" s="1">
        <v>45532</v>
      </c>
      <c r="BW20" t="s">
        <v>77</v>
      </c>
      <c r="BX20" t="s">
        <v>78</v>
      </c>
    </row>
    <row r="21" spans="1:76" x14ac:dyDescent="0.25">
      <c r="A21">
        <v>3</v>
      </c>
      <c r="B21">
        <v>6</v>
      </c>
      <c r="C21" t="s">
        <v>72</v>
      </c>
      <c r="D21">
        <v>24110</v>
      </c>
      <c r="E21">
        <v>60</v>
      </c>
      <c r="F21">
        <v>306</v>
      </c>
      <c r="G21">
        <v>46</v>
      </c>
      <c r="H21">
        <v>1</v>
      </c>
      <c r="I21">
        <v>6</v>
      </c>
      <c r="K21">
        <v>46</v>
      </c>
      <c r="L21" t="b">
        <v>0</v>
      </c>
      <c r="M21">
        <v>6</v>
      </c>
      <c r="N21" t="s">
        <v>105</v>
      </c>
      <c r="O21" t="s">
        <v>3</v>
      </c>
      <c r="P21" t="b">
        <v>0</v>
      </c>
      <c r="Q21">
        <v>2</v>
      </c>
      <c r="R21">
        <v>4</v>
      </c>
      <c r="S21">
        <v>4</v>
      </c>
      <c r="T21" t="s">
        <v>87</v>
      </c>
      <c r="Y21" t="s">
        <v>76</v>
      </c>
      <c r="Z21" t="s">
        <v>88</v>
      </c>
      <c r="AA21">
        <v>0</v>
      </c>
      <c r="AB21">
        <v>0</v>
      </c>
      <c r="AC21">
        <v>25</v>
      </c>
      <c r="AE21">
        <v>18.8</v>
      </c>
      <c r="AI21" s="3">
        <v>1549</v>
      </c>
      <c r="AJ21" s="3">
        <v>2018.2734270000001</v>
      </c>
      <c r="AK21" s="3">
        <v>0.93019828699999996</v>
      </c>
      <c r="AL21" s="3">
        <v>3028.3465379999998</v>
      </c>
      <c r="AM21" s="3">
        <v>0.96509914299999999</v>
      </c>
      <c r="AN21" s="3">
        <v>2091.2601989999998</v>
      </c>
      <c r="AO21" s="3">
        <v>2018.2734270000001</v>
      </c>
      <c r="AP21" s="4">
        <v>0.93642063434627898</v>
      </c>
      <c r="AQ21" s="4">
        <f t="shared" si="0"/>
        <v>2155.3064434648745</v>
      </c>
      <c r="AR21" s="4">
        <f t="shared" si="1"/>
        <v>2084.5403020417139</v>
      </c>
      <c r="AS21" s="4" cm="1">
        <f t="array" ref="AS21">_xlfn.IFS(AP21&lt;0.5,AJ21,AP21&gt;0.9,AJ21,AP21,AR21)</f>
        <v>2018.2734270000001</v>
      </c>
      <c r="BE21">
        <v>2</v>
      </c>
      <c r="BJ21" s="1">
        <v>45497</v>
      </c>
      <c r="BK21" s="1">
        <v>45534</v>
      </c>
      <c r="BW21" t="s">
        <v>77</v>
      </c>
      <c r="BX21" t="s">
        <v>78</v>
      </c>
    </row>
    <row r="22" spans="1:76" x14ac:dyDescent="0.25">
      <c r="A22">
        <v>3</v>
      </c>
      <c r="B22">
        <v>7</v>
      </c>
      <c r="C22" t="s">
        <v>106</v>
      </c>
      <c r="D22">
        <v>24111</v>
      </c>
      <c r="E22">
        <v>41</v>
      </c>
      <c r="F22">
        <v>307</v>
      </c>
      <c r="G22">
        <v>51</v>
      </c>
      <c r="H22">
        <v>1</v>
      </c>
      <c r="I22">
        <v>7</v>
      </c>
      <c r="K22">
        <v>51</v>
      </c>
      <c r="L22" t="b">
        <v>0</v>
      </c>
      <c r="M22">
        <v>7</v>
      </c>
      <c r="N22" t="s">
        <v>107</v>
      </c>
      <c r="O22" t="s">
        <v>3</v>
      </c>
      <c r="P22" t="b">
        <v>0</v>
      </c>
      <c r="Q22">
        <v>0</v>
      </c>
      <c r="R22">
        <v>1</v>
      </c>
      <c r="S22">
        <v>1</v>
      </c>
      <c r="T22" t="s">
        <v>108</v>
      </c>
      <c r="W22" t="s">
        <v>75</v>
      </c>
      <c r="Z22" t="s">
        <v>109</v>
      </c>
      <c r="AA22">
        <v>0</v>
      </c>
      <c r="AB22">
        <v>0</v>
      </c>
      <c r="AC22">
        <v>53</v>
      </c>
      <c r="AE22">
        <v>17.2</v>
      </c>
      <c r="AI22" s="3">
        <v>1091</v>
      </c>
      <c r="AJ22" s="3">
        <v>1449.5314510000001</v>
      </c>
      <c r="AK22" s="3">
        <v>0.940051843</v>
      </c>
      <c r="AL22" s="3">
        <v>2117.4010109999999</v>
      </c>
      <c r="AM22" s="3">
        <v>0.97002592099999996</v>
      </c>
      <c r="AN22" s="3">
        <v>1494.322388</v>
      </c>
      <c r="AO22" s="3">
        <v>1449.5314510000001</v>
      </c>
      <c r="AP22" s="4">
        <v>0.94065789473684203</v>
      </c>
      <c r="AQ22" s="4">
        <f t="shared" si="0"/>
        <v>1540.9762243110927</v>
      </c>
      <c r="AR22" s="4">
        <f t="shared" si="1"/>
        <v>1493.8557227744254</v>
      </c>
      <c r="AS22" s="4" cm="1">
        <f t="array" ref="AS22">_xlfn.IFS(AP22&lt;0.5,AJ22,AP22&gt;0.9,AJ22,AP22,AR22)</f>
        <v>1449.5314510000001</v>
      </c>
      <c r="BE22">
        <v>6</v>
      </c>
      <c r="BJ22" s="1">
        <v>45493</v>
      </c>
      <c r="BK22" s="1">
        <v>45528</v>
      </c>
      <c r="BW22" t="s">
        <v>77</v>
      </c>
      <c r="BX22" t="s">
        <v>78</v>
      </c>
    </row>
    <row r="23" spans="1:76" x14ac:dyDescent="0.25">
      <c r="A23">
        <v>4</v>
      </c>
      <c r="B23">
        <v>1</v>
      </c>
      <c r="C23" t="s">
        <v>106</v>
      </c>
      <c r="D23">
        <v>24111</v>
      </c>
      <c r="E23">
        <v>48</v>
      </c>
      <c r="F23">
        <v>401</v>
      </c>
      <c r="G23">
        <v>4</v>
      </c>
      <c r="H23">
        <v>1</v>
      </c>
      <c r="I23">
        <v>1</v>
      </c>
      <c r="K23">
        <v>4</v>
      </c>
      <c r="L23" t="b">
        <v>0</v>
      </c>
      <c r="M23">
        <v>1</v>
      </c>
      <c r="N23" t="s">
        <v>110</v>
      </c>
      <c r="O23" t="s">
        <v>3</v>
      </c>
      <c r="P23" t="b">
        <v>0</v>
      </c>
      <c r="Q23">
        <v>0</v>
      </c>
      <c r="R23">
        <v>1</v>
      </c>
      <c r="S23">
        <v>2</v>
      </c>
      <c r="T23" t="s">
        <v>108</v>
      </c>
      <c r="W23" t="s">
        <v>75</v>
      </c>
      <c r="Z23" t="s">
        <v>109</v>
      </c>
      <c r="AA23">
        <v>0</v>
      </c>
      <c r="AB23">
        <v>0</v>
      </c>
      <c r="AC23">
        <v>62</v>
      </c>
      <c r="AE23">
        <v>17.3</v>
      </c>
      <c r="AI23" s="3">
        <v>1030</v>
      </c>
      <c r="AJ23" s="3">
        <v>1366.832478</v>
      </c>
      <c r="AK23" s="3">
        <v>0.93919696799999997</v>
      </c>
      <c r="AL23" s="3">
        <v>1431.444835</v>
      </c>
      <c r="AM23" s="3">
        <v>0.96959848400000004</v>
      </c>
      <c r="AN23" s="3">
        <v>1409.689165</v>
      </c>
      <c r="AO23" s="3">
        <v>1366.832478</v>
      </c>
      <c r="AP23" s="4">
        <v>0.93628779704729104</v>
      </c>
      <c r="AQ23" s="4">
        <f t="shared" si="0"/>
        <v>1459.8422432829834</v>
      </c>
      <c r="AR23" s="4">
        <f t="shared" si="1"/>
        <v>1411.8071498300283</v>
      </c>
      <c r="AS23" s="4" cm="1">
        <f t="array" ref="AS23">_xlfn.IFS(AP23&lt;0.5,AJ23,AP23&gt;0.9,AJ23,AP23,AR23)</f>
        <v>1366.832478</v>
      </c>
      <c r="BE23">
        <v>2</v>
      </c>
      <c r="BJ23" s="1">
        <v>45490</v>
      </c>
      <c r="BK23" s="1">
        <v>45528</v>
      </c>
      <c r="BW23" t="s">
        <v>77</v>
      </c>
      <c r="BX23" t="s">
        <v>78</v>
      </c>
    </row>
    <row r="24" spans="1:76" x14ac:dyDescent="0.25">
      <c r="A24">
        <v>4</v>
      </c>
      <c r="B24">
        <v>2</v>
      </c>
      <c r="C24" t="s">
        <v>106</v>
      </c>
      <c r="D24">
        <v>24111</v>
      </c>
      <c r="E24">
        <v>47</v>
      </c>
      <c r="F24">
        <v>402</v>
      </c>
      <c r="G24">
        <v>13</v>
      </c>
      <c r="H24">
        <v>1</v>
      </c>
      <c r="I24">
        <v>2</v>
      </c>
      <c r="K24">
        <v>13</v>
      </c>
      <c r="L24" t="b">
        <v>0</v>
      </c>
      <c r="M24">
        <v>2</v>
      </c>
      <c r="N24" t="s">
        <v>111</v>
      </c>
      <c r="O24" t="s">
        <v>3</v>
      </c>
      <c r="P24" t="b">
        <v>0</v>
      </c>
      <c r="Q24">
        <v>2</v>
      </c>
      <c r="R24">
        <v>4</v>
      </c>
      <c r="S24">
        <v>2</v>
      </c>
      <c r="T24" t="s">
        <v>112</v>
      </c>
      <c r="W24" t="s">
        <v>75</v>
      </c>
      <c r="Y24" t="s">
        <v>112</v>
      </c>
      <c r="Z24" t="s">
        <v>113</v>
      </c>
      <c r="AA24">
        <v>0</v>
      </c>
      <c r="AB24">
        <v>0</v>
      </c>
      <c r="AC24">
        <v>60</v>
      </c>
      <c r="AE24">
        <v>17</v>
      </c>
      <c r="AI24" s="3">
        <v>573</v>
      </c>
      <c r="AJ24" s="3">
        <v>763.14184850000004</v>
      </c>
      <c r="AK24" s="3">
        <v>0.94274304399999997</v>
      </c>
      <c r="AL24" s="3">
        <v>774.98077750000004</v>
      </c>
      <c r="AM24" s="3">
        <v>0.97137152199999999</v>
      </c>
      <c r="AN24" s="3">
        <v>785.63333499999999</v>
      </c>
      <c r="AO24" s="3">
        <v>763.14184850000004</v>
      </c>
      <c r="AP24" s="4">
        <v>0.94579018697122397</v>
      </c>
      <c r="AQ24" s="4">
        <f t="shared" si="0"/>
        <v>806.88281503941948</v>
      </c>
      <c r="AR24" s="4">
        <f t="shared" si="1"/>
        <v>784.40301899958763</v>
      </c>
      <c r="AS24" s="4" cm="1">
        <f t="array" ref="AS24">_xlfn.IFS(AP24&lt;0.5,AJ24,AP24&gt;0.9,AJ24,AP24,AR24)</f>
        <v>763.14184850000004</v>
      </c>
      <c r="BE24">
        <v>3</v>
      </c>
      <c r="BJ24" s="1">
        <v>45488</v>
      </c>
      <c r="BK24" s="1">
        <v>45527</v>
      </c>
      <c r="BW24" t="s">
        <v>77</v>
      </c>
      <c r="BX24" t="s">
        <v>78</v>
      </c>
    </row>
    <row r="25" spans="1:76" x14ac:dyDescent="0.25">
      <c r="A25">
        <v>4</v>
      </c>
      <c r="B25">
        <v>3</v>
      </c>
      <c r="C25" t="s">
        <v>106</v>
      </c>
      <c r="D25">
        <v>24111</v>
      </c>
      <c r="E25">
        <v>46</v>
      </c>
      <c r="F25">
        <v>403</v>
      </c>
      <c r="G25">
        <v>20</v>
      </c>
      <c r="H25">
        <v>1</v>
      </c>
      <c r="I25">
        <v>3</v>
      </c>
      <c r="K25">
        <v>20</v>
      </c>
      <c r="L25" t="b">
        <v>0</v>
      </c>
      <c r="M25">
        <v>3</v>
      </c>
      <c r="N25" t="s">
        <v>114</v>
      </c>
      <c r="O25" t="s">
        <v>3</v>
      </c>
      <c r="P25" t="b">
        <v>0</v>
      </c>
      <c r="Q25">
        <v>0</v>
      </c>
      <c r="R25">
        <v>2</v>
      </c>
      <c r="S25">
        <v>2</v>
      </c>
      <c r="T25" t="s">
        <v>115</v>
      </c>
      <c r="Z25" t="s">
        <v>116</v>
      </c>
      <c r="AA25">
        <v>0</v>
      </c>
      <c r="AB25">
        <v>0</v>
      </c>
      <c r="AC25">
        <v>58</v>
      </c>
      <c r="AE25">
        <v>17.5</v>
      </c>
      <c r="AI25" s="3">
        <v>849</v>
      </c>
      <c r="AJ25" s="3">
        <v>1123.9168810000001</v>
      </c>
      <c r="AK25" s="3">
        <v>0.91175773999999998</v>
      </c>
      <c r="AL25" s="3">
        <v>1208.255161</v>
      </c>
      <c r="AM25" s="3">
        <v>0.95587887000000005</v>
      </c>
      <c r="AN25" s="3">
        <v>1175.7942519999999</v>
      </c>
      <c r="AO25" s="3">
        <v>1123.9168810000001</v>
      </c>
      <c r="AP25" s="4">
        <v>0.91300657894736803</v>
      </c>
      <c r="AQ25" s="4">
        <f t="shared" si="0"/>
        <v>1231.0063332684817</v>
      </c>
      <c r="AR25" s="4">
        <f t="shared" si="1"/>
        <v>1175.0266761951602</v>
      </c>
      <c r="AS25" s="4" cm="1">
        <f t="array" ref="AS25">_xlfn.IFS(AP25&lt;0.5,AJ25,AP25&gt;0.9,AJ25,AP25,AR25)</f>
        <v>1123.9168810000001</v>
      </c>
      <c r="BE25">
        <v>2</v>
      </c>
      <c r="BJ25" s="1">
        <v>45492</v>
      </c>
      <c r="BK25" s="1">
        <v>45526</v>
      </c>
      <c r="BW25" t="s">
        <v>77</v>
      </c>
      <c r="BX25" t="s">
        <v>78</v>
      </c>
    </row>
    <row r="26" spans="1:76" x14ac:dyDescent="0.25">
      <c r="A26">
        <v>4</v>
      </c>
      <c r="B26">
        <v>4</v>
      </c>
      <c r="C26" t="s">
        <v>106</v>
      </c>
      <c r="D26">
        <v>24111</v>
      </c>
      <c r="E26">
        <v>45</v>
      </c>
      <c r="F26">
        <v>404</v>
      </c>
      <c r="G26">
        <v>29</v>
      </c>
      <c r="H26">
        <v>1</v>
      </c>
      <c r="I26">
        <v>4</v>
      </c>
      <c r="K26">
        <v>29</v>
      </c>
      <c r="L26" t="b">
        <v>0</v>
      </c>
      <c r="M26">
        <v>4</v>
      </c>
      <c r="N26" t="s">
        <v>117</v>
      </c>
      <c r="O26" t="s">
        <v>3</v>
      </c>
      <c r="P26" t="b">
        <v>0</v>
      </c>
      <c r="Q26">
        <v>3</v>
      </c>
      <c r="R26">
        <v>5</v>
      </c>
      <c r="S26">
        <v>1</v>
      </c>
      <c r="T26" t="s">
        <v>118</v>
      </c>
      <c r="Z26" t="s">
        <v>116</v>
      </c>
      <c r="AA26">
        <v>0</v>
      </c>
      <c r="AB26">
        <v>0</v>
      </c>
      <c r="AC26">
        <v>56</v>
      </c>
      <c r="AE26">
        <v>18.2</v>
      </c>
      <c r="AI26" s="3">
        <v>733</v>
      </c>
      <c r="AJ26" s="3">
        <v>962.12130939999997</v>
      </c>
      <c r="AK26" s="3">
        <v>0.94771052600000005</v>
      </c>
      <c r="AL26" s="3">
        <v>1339.474066</v>
      </c>
      <c r="AM26" s="3">
        <v>0.97385526300000003</v>
      </c>
      <c r="AN26" s="3">
        <v>987.95102910000003</v>
      </c>
      <c r="AO26" s="3">
        <v>962.12130939999997</v>
      </c>
      <c r="AP26" s="4">
        <v>0.95190068290372198</v>
      </c>
      <c r="AQ26" s="4">
        <f t="shared" si="0"/>
        <v>1010.7370723436194</v>
      </c>
      <c r="AR26" s="4">
        <f t="shared" si="1"/>
        <v>985.83018882775491</v>
      </c>
      <c r="AS26" s="4" cm="1">
        <f t="array" ref="AS26">_xlfn.IFS(AP26&lt;0.5,AJ26,AP26&gt;0.9,AJ26,AP26,AR26)</f>
        <v>962.12130939999997</v>
      </c>
      <c r="BE26">
        <v>4</v>
      </c>
      <c r="BJ26" s="1">
        <v>45493</v>
      </c>
      <c r="BK26" s="1">
        <v>45528</v>
      </c>
      <c r="BW26" t="s">
        <v>77</v>
      </c>
      <c r="BX26" t="s">
        <v>78</v>
      </c>
    </row>
    <row r="27" spans="1:76" x14ac:dyDescent="0.25">
      <c r="A27">
        <v>4</v>
      </c>
      <c r="B27">
        <v>5</v>
      </c>
      <c r="C27" t="s">
        <v>106</v>
      </c>
      <c r="D27">
        <v>24111</v>
      </c>
      <c r="E27">
        <v>44</v>
      </c>
      <c r="F27">
        <v>405</v>
      </c>
      <c r="G27">
        <v>36</v>
      </c>
      <c r="H27">
        <v>1</v>
      </c>
      <c r="I27">
        <v>5</v>
      </c>
      <c r="K27">
        <v>36</v>
      </c>
      <c r="L27" t="b">
        <v>0</v>
      </c>
      <c r="M27">
        <v>5</v>
      </c>
      <c r="N27" t="s">
        <v>119</v>
      </c>
      <c r="O27" t="s">
        <v>3</v>
      </c>
      <c r="P27" t="b">
        <v>0</v>
      </c>
      <c r="Q27">
        <v>2</v>
      </c>
      <c r="R27">
        <v>4</v>
      </c>
      <c r="S27">
        <v>1</v>
      </c>
      <c r="T27" t="s">
        <v>112</v>
      </c>
      <c r="W27" t="s">
        <v>75</v>
      </c>
      <c r="Y27" t="s">
        <v>112</v>
      </c>
      <c r="Z27" t="s">
        <v>113</v>
      </c>
      <c r="AA27">
        <v>0</v>
      </c>
      <c r="AB27">
        <v>0</v>
      </c>
      <c r="AC27">
        <v>59</v>
      </c>
      <c r="AE27">
        <v>16.5</v>
      </c>
      <c r="AI27" s="3">
        <v>678</v>
      </c>
      <c r="AJ27" s="3">
        <v>908.42426190000003</v>
      </c>
      <c r="AK27" s="3">
        <v>0.89464335100000003</v>
      </c>
      <c r="AL27" s="3">
        <v>1547.158003</v>
      </c>
      <c r="AM27" s="3">
        <v>0.94732167499999997</v>
      </c>
      <c r="AN27" s="3">
        <v>958.93959319999999</v>
      </c>
      <c r="AO27" s="3">
        <v>958.93959319999999</v>
      </c>
      <c r="AP27" s="4">
        <v>0.89669872764832004</v>
      </c>
      <c r="AQ27" s="4">
        <f t="shared" si="0"/>
        <v>1013.0763364440489</v>
      </c>
      <c r="AR27" s="4">
        <f t="shared" si="1"/>
        <v>957.90042842105731</v>
      </c>
      <c r="AS27" s="4" cm="1">
        <f t="array" ref="AS27">_xlfn.IFS(AP27&lt;0.5,AJ27,AP27&gt;0.9,AJ27,AP27,AR27)</f>
        <v>957.90042842105731</v>
      </c>
      <c r="BE27">
        <v>2</v>
      </c>
      <c r="BJ27" s="1">
        <v>45488</v>
      </c>
      <c r="BK27" s="1">
        <v>45526</v>
      </c>
      <c r="BW27" t="s">
        <v>77</v>
      </c>
      <c r="BX27" t="s">
        <v>78</v>
      </c>
    </row>
    <row r="28" spans="1:76" x14ac:dyDescent="0.25">
      <c r="A28">
        <v>4</v>
      </c>
      <c r="B28">
        <v>6</v>
      </c>
      <c r="C28" t="s">
        <v>106</v>
      </c>
      <c r="D28">
        <v>24111</v>
      </c>
      <c r="E28">
        <v>43</v>
      </c>
      <c r="F28">
        <v>406</v>
      </c>
      <c r="G28">
        <v>45</v>
      </c>
      <c r="H28">
        <v>1</v>
      </c>
      <c r="I28">
        <v>6</v>
      </c>
      <c r="K28">
        <v>45</v>
      </c>
      <c r="L28" t="b">
        <v>0</v>
      </c>
      <c r="M28">
        <v>6</v>
      </c>
      <c r="N28" t="s">
        <v>120</v>
      </c>
      <c r="O28" t="s">
        <v>3</v>
      </c>
      <c r="P28" t="b">
        <v>0</v>
      </c>
      <c r="Q28">
        <v>1</v>
      </c>
      <c r="R28">
        <v>3</v>
      </c>
      <c r="S28">
        <v>1</v>
      </c>
      <c r="T28" t="s">
        <v>121</v>
      </c>
      <c r="Z28" t="s">
        <v>122</v>
      </c>
      <c r="AA28">
        <v>0</v>
      </c>
      <c r="AB28">
        <v>0</v>
      </c>
      <c r="AC28">
        <v>54</v>
      </c>
      <c r="AE28">
        <v>18</v>
      </c>
      <c r="AI28" s="3">
        <v>475</v>
      </c>
      <c r="AJ28" s="3">
        <v>625</v>
      </c>
      <c r="AK28" s="3">
        <v>0.81257606800000004</v>
      </c>
      <c r="AL28" s="3">
        <v>685.61729600000001</v>
      </c>
      <c r="AM28" s="3">
        <v>0.90628803400000002</v>
      </c>
      <c r="AN28" s="3">
        <v>689.62622999999996</v>
      </c>
      <c r="AO28" s="3">
        <v>689.62622999999996</v>
      </c>
      <c r="AP28" s="4">
        <v>0.82226432720837395</v>
      </c>
      <c r="AQ28" s="4">
        <f t="shared" si="0"/>
        <v>760.09621154538513</v>
      </c>
      <c r="AR28" s="4">
        <f t="shared" si="1"/>
        <v>685.95975969904612</v>
      </c>
      <c r="AS28" s="4" cm="1">
        <f t="array" ref="AS28">_xlfn.IFS(AP28&lt;0.5,AJ28,AP28&gt;0.9,AJ28,AP28,AR28)</f>
        <v>685.95975969904612</v>
      </c>
      <c r="BE28">
        <v>4</v>
      </c>
      <c r="BJ28" s="1">
        <v>45491</v>
      </c>
      <c r="BK28" s="1">
        <v>45528</v>
      </c>
      <c r="BW28" t="s">
        <v>77</v>
      </c>
      <c r="BX28" t="s">
        <v>78</v>
      </c>
    </row>
    <row r="29" spans="1:76" x14ac:dyDescent="0.25">
      <c r="A29">
        <v>4</v>
      </c>
      <c r="B29">
        <v>7</v>
      </c>
      <c r="C29" t="s">
        <v>106</v>
      </c>
      <c r="D29">
        <v>24111</v>
      </c>
      <c r="E29">
        <v>42</v>
      </c>
      <c r="F29">
        <v>407</v>
      </c>
      <c r="G29">
        <v>52</v>
      </c>
      <c r="H29">
        <v>1</v>
      </c>
      <c r="I29">
        <v>7</v>
      </c>
      <c r="K29">
        <v>52</v>
      </c>
      <c r="L29" t="b">
        <v>0</v>
      </c>
      <c r="M29">
        <v>7</v>
      </c>
      <c r="N29" t="s">
        <v>123</v>
      </c>
      <c r="O29" t="s">
        <v>3</v>
      </c>
      <c r="P29" t="b">
        <v>0</v>
      </c>
      <c r="Q29">
        <v>0</v>
      </c>
      <c r="R29">
        <v>2</v>
      </c>
      <c r="S29">
        <v>1</v>
      </c>
      <c r="T29" t="s">
        <v>115</v>
      </c>
      <c r="Z29" t="s">
        <v>116</v>
      </c>
      <c r="AA29">
        <v>0</v>
      </c>
      <c r="AB29">
        <v>0</v>
      </c>
      <c r="AC29">
        <v>60</v>
      </c>
      <c r="AE29">
        <v>17.5</v>
      </c>
      <c r="AI29" s="3">
        <v>817</v>
      </c>
      <c r="AJ29" s="3">
        <v>1081.5548779999999</v>
      </c>
      <c r="AK29" s="3">
        <v>0.88980045699999999</v>
      </c>
      <c r="AL29" s="3">
        <v>1153.5679729999999</v>
      </c>
      <c r="AM29" s="3">
        <v>0.94490022799999995</v>
      </c>
      <c r="AN29" s="3">
        <v>1144.623364</v>
      </c>
      <c r="AO29" s="3">
        <v>1144.623364</v>
      </c>
      <c r="AP29" s="4">
        <v>0.89524862169239094</v>
      </c>
      <c r="AQ29" s="4">
        <f t="shared" si="0"/>
        <v>1208.1056052958929</v>
      </c>
      <c r="AR29" s="4">
        <f t="shared" si="1"/>
        <v>1141.3329793472785</v>
      </c>
      <c r="AS29" s="4" cm="1">
        <f t="array" ref="AS29">_xlfn.IFS(AP29&lt;0.5,AJ29,AP29&gt;0.9,AJ29,AP29,AR29)</f>
        <v>1141.3329793472785</v>
      </c>
      <c r="BE29">
        <v>3</v>
      </c>
      <c r="BJ29" s="1">
        <v>45490</v>
      </c>
      <c r="BK29" s="1">
        <v>45527</v>
      </c>
      <c r="BW29" t="s">
        <v>77</v>
      </c>
      <c r="BX29" t="s">
        <v>78</v>
      </c>
    </row>
    <row r="30" spans="1:76" x14ac:dyDescent="0.25">
      <c r="A30">
        <v>5</v>
      </c>
      <c r="B30">
        <v>1</v>
      </c>
      <c r="C30" t="s">
        <v>106</v>
      </c>
      <c r="D30">
        <v>24111</v>
      </c>
      <c r="E30">
        <v>49</v>
      </c>
      <c r="F30">
        <v>501</v>
      </c>
      <c r="G30">
        <v>5</v>
      </c>
      <c r="H30">
        <v>1</v>
      </c>
      <c r="I30">
        <v>1</v>
      </c>
      <c r="K30">
        <v>5</v>
      </c>
      <c r="L30" t="b">
        <v>0</v>
      </c>
      <c r="M30">
        <v>1</v>
      </c>
      <c r="N30" t="s">
        <v>124</v>
      </c>
      <c r="O30" t="s">
        <v>3</v>
      </c>
      <c r="P30" t="b">
        <v>0</v>
      </c>
      <c r="Q30">
        <v>3</v>
      </c>
      <c r="R30">
        <v>5</v>
      </c>
      <c r="S30">
        <v>2</v>
      </c>
      <c r="T30" t="s">
        <v>118</v>
      </c>
      <c r="Z30" t="s">
        <v>116</v>
      </c>
      <c r="AA30">
        <v>0</v>
      </c>
      <c r="AB30">
        <v>0</v>
      </c>
      <c r="AC30">
        <v>57</v>
      </c>
      <c r="AE30">
        <v>18.2</v>
      </c>
      <c r="AI30" s="3">
        <v>598</v>
      </c>
      <c r="AJ30" s="3">
        <v>784.92297819999999</v>
      </c>
      <c r="AK30" s="3">
        <v>0.71828289499999998</v>
      </c>
      <c r="AL30" s="3">
        <v>824.33345039999995</v>
      </c>
      <c r="AM30" s="3">
        <v>0.85914144699999995</v>
      </c>
      <c r="AN30" s="3">
        <v>913.61321310000005</v>
      </c>
      <c r="AO30" s="3">
        <v>913.61321310000005</v>
      </c>
      <c r="AP30" s="4">
        <v>0.70585526315789504</v>
      </c>
      <c r="AQ30" s="4">
        <f t="shared" si="0"/>
        <v>1112.0168952036531</v>
      </c>
      <c r="AR30" s="4">
        <f t="shared" si="1"/>
        <v>920.26914023988559</v>
      </c>
      <c r="AS30" s="4" cm="1">
        <f t="array" ref="AS30">_xlfn.IFS(AP30&lt;0.5,AJ30,AP30&gt;0.9,AJ30,AP30,AR30)</f>
        <v>920.26914023988559</v>
      </c>
      <c r="BE30">
        <v>2</v>
      </c>
      <c r="BJ30" s="1">
        <v>45488</v>
      </c>
      <c r="BK30" s="1">
        <v>45528</v>
      </c>
      <c r="BW30" t="s">
        <v>77</v>
      </c>
      <c r="BX30" t="s">
        <v>78</v>
      </c>
    </row>
    <row r="31" spans="1:76" x14ac:dyDescent="0.25">
      <c r="A31">
        <v>5</v>
      </c>
      <c r="B31">
        <v>2</v>
      </c>
      <c r="C31" t="s">
        <v>106</v>
      </c>
      <c r="D31">
        <v>24111</v>
      </c>
      <c r="E31">
        <v>50</v>
      </c>
      <c r="F31">
        <v>502</v>
      </c>
      <c r="G31">
        <v>12</v>
      </c>
      <c r="H31">
        <v>1</v>
      </c>
      <c r="I31">
        <v>2</v>
      </c>
      <c r="K31">
        <v>12</v>
      </c>
      <c r="L31" t="b">
        <v>0</v>
      </c>
      <c r="M31">
        <v>2</v>
      </c>
      <c r="N31" s="2" t="s">
        <v>125</v>
      </c>
      <c r="O31" t="s">
        <v>3</v>
      </c>
      <c r="P31" t="b">
        <v>0</v>
      </c>
      <c r="Q31">
        <v>1</v>
      </c>
      <c r="R31">
        <v>3</v>
      </c>
      <c r="S31">
        <v>2</v>
      </c>
      <c r="T31" t="s">
        <v>121</v>
      </c>
      <c r="Z31" t="s">
        <v>122</v>
      </c>
      <c r="AA31">
        <v>0</v>
      </c>
      <c r="AB31">
        <v>0</v>
      </c>
      <c r="AC31">
        <v>57</v>
      </c>
      <c r="AE31">
        <v>17.899999999999999</v>
      </c>
      <c r="AI31" s="3">
        <v>702</v>
      </c>
      <c r="AJ31" s="3">
        <v>924.81065469999999</v>
      </c>
      <c r="AK31" s="3">
        <v>0.91434981100000001</v>
      </c>
      <c r="AL31" s="3">
        <v>972.94620459999999</v>
      </c>
      <c r="AM31" s="3">
        <v>0.95717490599999999</v>
      </c>
      <c r="AN31" s="3">
        <v>966.18773569999996</v>
      </c>
      <c r="AO31" s="3">
        <v>924.81065469999999</v>
      </c>
      <c r="AP31" s="4">
        <v>0.91195452661495602</v>
      </c>
      <c r="AQ31" s="4">
        <f t="shared" si="0"/>
        <v>1014.0973345817627</v>
      </c>
      <c r="AR31" s="4">
        <f t="shared" si="1"/>
        <v>967.39816959699624</v>
      </c>
      <c r="AS31" s="4" cm="1">
        <f t="array" ref="AS31">_xlfn.IFS(AP31&lt;0.5,AJ31,AP31&gt;0.9,AJ31,AP31,AR31)</f>
        <v>924.81065469999999</v>
      </c>
      <c r="BE31">
        <v>2</v>
      </c>
      <c r="BJ31" s="1">
        <v>45489</v>
      </c>
      <c r="BK31" s="1">
        <v>45528</v>
      </c>
      <c r="BW31" t="s">
        <v>77</v>
      </c>
      <c r="BX31" t="s">
        <v>78</v>
      </c>
    </row>
    <row r="32" spans="1:76" x14ac:dyDescent="0.25">
      <c r="A32">
        <v>5</v>
      </c>
      <c r="B32">
        <v>3</v>
      </c>
      <c r="C32" t="s">
        <v>106</v>
      </c>
      <c r="D32">
        <v>24111</v>
      </c>
      <c r="E32">
        <v>51</v>
      </c>
      <c r="F32">
        <v>503</v>
      </c>
      <c r="G32">
        <v>21</v>
      </c>
      <c r="H32">
        <v>1</v>
      </c>
      <c r="I32">
        <v>3</v>
      </c>
      <c r="K32">
        <v>21</v>
      </c>
      <c r="L32" t="b">
        <v>0</v>
      </c>
      <c r="M32">
        <v>3</v>
      </c>
      <c r="N32" t="s">
        <v>126</v>
      </c>
      <c r="O32" t="s">
        <v>3</v>
      </c>
      <c r="P32" t="b">
        <v>0</v>
      </c>
      <c r="Q32">
        <v>1</v>
      </c>
      <c r="R32">
        <v>3</v>
      </c>
      <c r="S32">
        <v>3</v>
      </c>
      <c r="T32" t="s">
        <v>121</v>
      </c>
      <c r="Z32" t="s">
        <v>122</v>
      </c>
      <c r="AA32">
        <v>0</v>
      </c>
      <c r="AB32">
        <v>0</v>
      </c>
      <c r="AC32">
        <v>57</v>
      </c>
      <c r="AE32">
        <v>17.3</v>
      </c>
      <c r="AI32" s="3">
        <v>546</v>
      </c>
      <c r="AJ32" s="3">
        <v>724.55391529999997</v>
      </c>
      <c r="AK32" s="3">
        <v>0.931210074</v>
      </c>
      <c r="AL32" s="3">
        <v>770.75952870000003</v>
      </c>
      <c r="AM32" s="3">
        <v>0.965605037</v>
      </c>
      <c r="AN32" s="3">
        <v>750.36260960000004</v>
      </c>
      <c r="AO32" s="3">
        <v>724.55391529999997</v>
      </c>
      <c r="AP32" s="4">
        <v>0.92788720904222399</v>
      </c>
      <c r="AQ32" s="4">
        <f t="shared" si="0"/>
        <v>780.86421306302191</v>
      </c>
      <c r="AR32" s="4">
        <f t="shared" si="1"/>
        <v>751.65591835630153</v>
      </c>
      <c r="AS32" s="4" cm="1">
        <f t="array" ref="AS32">_xlfn.IFS(AP32&lt;0.5,AJ32,AP32&gt;0.9,AJ32,AP32,AR32)</f>
        <v>724.55391529999997</v>
      </c>
      <c r="BE32">
        <v>2</v>
      </c>
      <c r="BJ32" s="1">
        <v>45489</v>
      </c>
      <c r="BK32" s="1">
        <v>45527</v>
      </c>
      <c r="BW32" t="s">
        <v>77</v>
      </c>
      <c r="BX32" t="s">
        <v>78</v>
      </c>
    </row>
    <row r="33" spans="1:76" x14ac:dyDescent="0.25">
      <c r="A33">
        <v>5</v>
      </c>
      <c r="B33">
        <v>4</v>
      </c>
      <c r="C33" t="s">
        <v>106</v>
      </c>
      <c r="D33">
        <v>24111</v>
      </c>
      <c r="E33">
        <v>52</v>
      </c>
      <c r="F33">
        <v>504</v>
      </c>
      <c r="G33">
        <v>28</v>
      </c>
      <c r="H33">
        <v>1</v>
      </c>
      <c r="I33">
        <v>4</v>
      </c>
      <c r="K33">
        <v>28</v>
      </c>
      <c r="L33" t="b">
        <v>0</v>
      </c>
      <c r="M33">
        <v>4</v>
      </c>
      <c r="N33" t="s">
        <v>127</v>
      </c>
      <c r="O33" t="s">
        <v>3</v>
      </c>
      <c r="P33" t="b">
        <v>0</v>
      </c>
      <c r="Q33">
        <v>3</v>
      </c>
      <c r="R33">
        <v>5</v>
      </c>
      <c r="S33">
        <v>3</v>
      </c>
      <c r="T33" t="s">
        <v>118</v>
      </c>
      <c r="Z33" t="s">
        <v>116</v>
      </c>
      <c r="AA33">
        <v>0</v>
      </c>
      <c r="AB33">
        <v>0</v>
      </c>
      <c r="AC33">
        <v>61</v>
      </c>
      <c r="AE33">
        <v>18.3</v>
      </c>
      <c r="AI33" s="3">
        <v>718</v>
      </c>
      <c r="AJ33" s="3">
        <v>941.28048779999995</v>
      </c>
      <c r="AK33" s="3">
        <v>0.75026973699999999</v>
      </c>
      <c r="AL33" s="3">
        <v>1057.8557029999999</v>
      </c>
      <c r="AM33" s="3">
        <v>0.87513486799999995</v>
      </c>
      <c r="AN33" s="3">
        <v>1075.5833439999999</v>
      </c>
      <c r="AO33" s="3">
        <v>1075.5833439999999</v>
      </c>
      <c r="AP33" s="4">
        <v>0.75950316443204702</v>
      </c>
      <c r="AQ33" s="4">
        <f t="shared" si="0"/>
        <v>1239.3371507594509</v>
      </c>
      <c r="AR33" s="4">
        <f t="shared" si="1"/>
        <v>1069.9389541636174</v>
      </c>
      <c r="AS33" s="4" cm="1">
        <f t="array" ref="AS33">_xlfn.IFS(AP33&lt;0.5,AJ33,AP33&gt;0.9,AJ33,AP33,AR33)</f>
        <v>1069.9389541636174</v>
      </c>
      <c r="BE33">
        <v>3</v>
      </c>
      <c r="BJ33" s="1">
        <v>45491</v>
      </c>
      <c r="BK33" s="1">
        <v>45530</v>
      </c>
      <c r="BW33" t="s">
        <v>77</v>
      </c>
      <c r="BX33" t="s">
        <v>78</v>
      </c>
    </row>
    <row r="34" spans="1:76" x14ac:dyDescent="0.25">
      <c r="A34">
        <v>5</v>
      </c>
      <c r="B34">
        <v>5</v>
      </c>
      <c r="C34" t="s">
        <v>106</v>
      </c>
      <c r="D34">
        <v>24111</v>
      </c>
      <c r="E34">
        <v>53</v>
      </c>
      <c r="F34">
        <v>505</v>
      </c>
      <c r="G34">
        <v>37</v>
      </c>
      <c r="H34">
        <v>1</v>
      </c>
      <c r="I34">
        <v>5</v>
      </c>
      <c r="K34">
        <v>37</v>
      </c>
      <c r="L34" t="b">
        <v>0</v>
      </c>
      <c r="M34">
        <v>5</v>
      </c>
      <c r="N34" t="s">
        <v>128</v>
      </c>
      <c r="O34" t="s">
        <v>3</v>
      </c>
      <c r="P34" t="b">
        <v>0</v>
      </c>
      <c r="Q34">
        <v>2</v>
      </c>
      <c r="R34">
        <v>4</v>
      </c>
      <c r="S34">
        <v>3</v>
      </c>
      <c r="T34" t="s">
        <v>112</v>
      </c>
      <c r="W34" t="s">
        <v>75</v>
      </c>
      <c r="Y34" t="s">
        <v>112</v>
      </c>
      <c r="Z34" t="s">
        <v>113</v>
      </c>
      <c r="AA34">
        <v>0</v>
      </c>
      <c r="AB34">
        <v>0</v>
      </c>
      <c r="AC34">
        <v>61</v>
      </c>
      <c r="AE34">
        <v>16.600000000000001</v>
      </c>
      <c r="AI34" s="3">
        <v>792</v>
      </c>
      <c r="AJ34" s="3">
        <v>1059.8973040000001</v>
      </c>
      <c r="AK34" s="3">
        <v>0.91032236799999999</v>
      </c>
      <c r="AL34" s="3">
        <v>1102.624276</v>
      </c>
      <c r="AM34" s="3">
        <v>0.95516118400000005</v>
      </c>
      <c r="AN34" s="3">
        <v>1109.652822</v>
      </c>
      <c r="AO34" s="3">
        <v>1059.8973040000001</v>
      </c>
      <c r="AP34" s="4">
        <v>0.90549279929473203</v>
      </c>
      <c r="AQ34" s="4">
        <f t="shared" si="0"/>
        <v>1170.519859269483</v>
      </c>
      <c r="AR34" s="4">
        <f t="shared" si="1"/>
        <v>1112.4652944291295</v>
      </c>
      <c r="AS34" s="4" cm="1">
        <f t="array" ref="AS34">_xlfn.IFS(AP34&lt;0.5,AJ34,AP34&gt;0.9,AJ34,AP34,AR34)</f>
        <v>1059.8973040000001</v>
      </c>
      <c r="BE34">
        <v>4</v>
      </c>
      <c r="BJ34" s="1">
        <v>45489</v>
      </c>
      <c r="BK34" s="1">
        <v>45526</v>
      </c>
      <c r="BW34" t="s">
        <v>77</v>
      </c>
      <c r="BX34" t="s">
        <v>78</v>
      </c>
    </row>
    <row r="35" spans="1:76" x14ac:dyDescent="0.25">
      <c r="A35">
        <v>5</v>
      </c>
      <c r="B35">
        <v>6</v>
      </c>
      <c r="C35" t="s">
        <v>106</v>
      </c>
      <c r="D35">
        <v>24111</v>
      </c>
      <c r="E35">
        <v>54</v>
      </c>
      <c r="F35">
        <v>506</v>
      </c>
      <c r="G35">
        <v>44</v>
      </c>
      <c r="H35">
        <v>1</v>
      </c>
      <c r="I35">
        <v>6</v>
      </c>
      <c r="K35">
        <v>44</v>
      </c>
      <c r="L35" t="b">
        <v>0</v>
      </c>
      <c r="M35">
        <v>6</v>
      </c>
      <c r="N35" t="s">
        <v>129</v>
      </c>
      <c r="O35" t="s">
        <v>3</v>
      </c>
      <c r="P35" t="b">
        <v>0</v>
      </c>
      <c r="Q35">
        <v>0</v>
      </c>
      <c r="R35">
        <v>1</v>
      </c>
      <c r="S35">
        <v>3</v>
      </c>
      <c r="T35" t="s">
        <v>108</v>
      </c>
      <c r="W35" t="s">
        <v>75</v>
      </c>
      <c r="Z35" t="s">
        <v>109</v>
      </c>
      <c r="AA35">
        <v>0</v>
      </c>
      <c r="AB35">
        <v>0</v>
      </c>
      <c r="AC35">
        <v>57</v>
      </c>
      <c r="AE35">
        <v>16.899999999999999</v>
      </c>
      <c r="AI35" s="3">
        <v>862</v>
      </c>
      <c r="AJ35" s="3">
        <v>1149.4255459999999</v>
      </c>
      <c r="AK35" s="3">
        <v>0.96284186100000002</v>
      </c>
      <c r="AL35" s="3">
        <v>1182.6330740000001</v>
      </c>
      <c r="AM35" s="3">
        <v>0.98142092999999997</v>
      </c>
      <c r="AN35" s="3">
        <v>1171.1850750000001</v>
      </c>
      <c r="AO35" s="3">
        <v>1149.4255459999999</v>
      </c>
      <c r="AP35" s="4">
        <v>0.96718399463154403</v>
      </c>
      <c r="AQ35" s="4">
        <f t="shared" si="0"/>
        <v>1188.4249040306775</v>
      </c>
      <c r="AR35" s="4">
        <f t="shared" si="1"/>
        <v>1168.5999369014678</v>
      </c>
      <c r="AS35" s="4" cm="1">
        <f t="array" ref="AS35">_xlfn.IFS(AP35&lt;0.5,AJ35,AP35&gt;0.9,AJ35,AP35,AR35)</f>
        <v>1149.4255459999999</v>
      </c>
      <c r="BE35">
        <v>3</v>
      </c>
      <c r="BJ35" s="1">
        <v>45489</v>
      </c>
      <c r="BK35" s="1">
        <v>45526</v>
      </c>
      <c r="BW35" t="s">
        <v>77</v>
      </c>
      <c r="BX35" t="s">
        <v>78</v>
      </c>
    </row>
    <row r="36" spans="1:76" x14ac:dyDescent="0.25">
      <c r="A36">
        <v>5</v>
      </c>
      <c r="B36">
        <v>7</v>
      </c>
      <c r="C36" t="s">
        <v>106</v>
      </c>
      <c r="D36">
        <v>24111</v>
      </c>
      <c r="E36">
        <v>55</v>
      </c>
      <c r="F36">
        <v>507</v>
      </c>
      <c r="G36">
        <v>53</v>
      </c>
      <c r="H36">
        <v>1</v>
      </c>
      <c r="I36">
        <v>7</v>
      </c>
      <c r="K36">
        <v>53</v>
      </c>
      <c r="L36" t="b">
        <v>0</v>
      </c>
      <c r="M36">
        <v>7</v>
      </c>
      <c r="N36" t="s">
        <v>130</v>
      </c>
      <c r="O36" t="s">
        <v>3</v>
      </c>
      <c r="P36" t="b">
        <v>0</v>
      </c>
      <c r="Q36">
        <v>0</v>
      </c>
      <c r="R36">
        <v>2</v>
      </c>
      <c r="S36">
        <v>3</v>
      </c>
      <c r="T36" t="s">
        <v>115</v>
      </c>
      <c r="Z36" t="s">
        <v>116</v>
      </c>
      <c r="AA36">
        <v>0</v>
      </c>
      <c r="AB36">
        <v>0</v>
      </c>
      <c r="AC36">
        <v>59</v>
      </c>
      <c r="AE36">
        <v>17.5</v>
      </c>
      <c r="AI36" s="3">
        <v>856</v>
      </c>
      <c r="AJ36" s="3">
        <v>1133.183569</v>
      </c>
      <c r="AK36" s="3">
        <v>0.923269232</v>
      </c>
      <c r="AL36" s="3">
        <v>1211.8422129999999</v>
      </c>
      <c r="AM36" s="3">
        <v>0.961634616</v>
      </c>
      <c r="AN36" s="3">
        <v>1178.3930720000001</v>
      </c>
      <c r="AO36" s="3">
        <v>1133.183569</v>
      </c>
      <c r="AP36" s="4">
        <v>0.92017920698933597</v>
      </c>
      <c r="AQ36" s="4">
        <f t="shared" si="0"/>
        <v>1231.4813901387499</v>
      </c>
      <c r="AR36" s="4">
        <f t="shared" si="1"/>
        <v>1180.2893864023529</v>
      </c>
      <c r="AS36" s="4" cm="1">
        <f t="array" ref="AS36">_xlfn.IFS(AP36&lt;0.5,AJ36,AP36&gt;0.9,AJ36,AP36,AR36)</f>
        <v>1133.183569</v>
      </c>
      <c r="BE36">
        <v>3</v>
      </c>
      <c r="BJ36" s="1">
        <v>45491</v>
      </c>
      <c r="BK36" s="1">
        <v>45528</v>
      </c>
      <c r="BW36" t="s">
        <v>77</v>
      </c>
      <c r="BX36" t="s">
        <v>78</v>
      </c>
    </row>
    <row r="37" spans="1:76" x14ac:dyDescent="0.25">
      <c r="A37">
        <v>6</v>
      </c>
      <c r="B37">
        <v>1</v>
      </c>
      <c r="C37" t="s">
        <v>131</v>
      </c>
      <c r="D37">
        <v>24112</v>
      </c>
      <c r="E37">
        <v>34</v>
      </c>
      <c r="F37">
        <v>601</v>
      </c>
      <c r="G37">
        <v>6</v>
      </c>
      <c r="H37">
        <v>1</v>
      </c>
      <c r="I37">
        <v>1</v>
      </c>
      <c r="K37">
        <v>6</v>
      </c>
      <c r="L37" t="b">
        <v>0</v>
      </c>
      <c r="M37">
        <v>1</v>
      </c>
      <c r="N37" t="s">
        <v>132</v>
      </c>
      <c r="O37" t="s">
        <v>3</v>
      </c>
      <c r="P37" t="b">
        <v>0</v>
      </c>
      <c r="Q37">
        <v>1</v>
      </c>
      <c r="R37">
        <v>2</v>
      </c>
      <c r="S37">
        <v>1</v>
      </c>
      <c r="T37" t="s">
        <v>133</v>
      </c>
      <c r="W37" t="s">
        <v>75</v>
      </c>
      <c r="Z37" t="s">
        <v>134</v>
      </c>
      <c r="AA37">
        <v>0</v>
      </c>
      <c r="AB37">
        <v>0</v>
      </c>
      <c r="AC37">
        <v>56</v>
      </c>
      <c r="AE37">
        <v>18.600000000000001</v>
      </c>
      <c r="AI37" s="3">
        <v>465</v>
      </c>
      <c r="AJ37" s="3">
        <v>607.3652118</v>
      </c>
      <c r="AK37" s="3">
        <v>0.58715674799999995</v>
      </c>
      <c r="AL37" s="3">
        <v>638.39476130000003</v>
      </c>
      <c r="AM37" s="3">
        <v>0.79357837399999998</v>
      </c>
      <c r="AN37" s="3">
        <v>765.35000409999998</v>
      </c>
      <c r="AO37" s="3">
        <v>607.3652118</v>
      </c>
      <c r="AP37" s="4">
        <v>0.58486184210526304</v>
      </c>
      <c r="AQ37" s="4">
        <f t="shared" si="0"/>
        <v>1038.4763854891507</v>
      </c>
      <c r="AR37" s="4">
        <f t="shared" si="1"/>
        <v>766.45824344310279</v>
      </c>
      <c r="AS37" s="4" cm="1">
        <f t="array" ref="AS37">_xlfn.IFS(AP37&lt;0.5,AJ37,AP37&gt;0.9,AJ37,AP37,AR37)</f>
        <v>766.45824344310279</v>
      </c>
      <c r="BE37">
        <v>2</v>
      </c>
      <c r="BJ37" s="1">
        <v>45490</v>
      </c>
      <c r="BK37" s="1">
        <v>45523</v>
      </c>
      <c r="BW37" t="s">
        <v>77</v>
      </c>
      <c r="BX37" t="s">
        <v>78</v>
      </c>
    </row>
    <row r="38" spans="1:76" x14ac:dyDescent="0.25">
      <c r="A38">
        <v>6</v>
      </c>
      <c r="B38">
        <v>2</v>
      </c>
      <c r="C38" t="s">
        <v>131</v>
      </c>
      <c r="D38">
        <v>24112</v>
      </c>
      <c r="E38">
        <v>33</v>
      </c>
      <c r="F38">
        <v>602</v>
      </c>
      <c r="G38">
        <v>11</v>
      </c>
      <c r="H38">
        <v>1</v>
      </c>
      <c r="I38">
        <v>2</v>
      </c>
      <c r="K38">
        <v>11</v>
      </c>
      <c r="L38" t="b">
        <v>0</v>
      </c>
      <c r="M38">
        <v>2</v>
      </c>
      <c r="N38" t="s">
        <v>135</v>
      </c>
      <c r="O38" t="s">
        <v>3</v>
      </c>
      <c r="P38" t="b">
        <v>0</v>
      </c>
      <c r="Q38">
        <v>0</v>
      </c>
      <c r="R38">
        <v>1</v>
      </c>
      <c r="S38">
        <v>1</v>
      </c>
      <c r="T38" t="s">
        <v>136</v>
      </c>
      <c r="W38" t="s">
        <v>75</v>
      </c>
      <c r="Z38" t="s">
        <v>134</v>
      </c>
      <c r="AA38">
        <v>0</v>
      </c>
      <c r="AB38">
        <v>0</v>
      </c>
      <c r="AC38">
        <v>48</v>
      </c>
      <c r="AE38">
        <v>18</v>
      </c>
      <c r="AI38" s="3">
        <v>953</v>
      </c>
      <c r="AJ38" s="3">
        <v>1253.9473680000001</v>
      </c>
      <c r="AK38" s="3">
        <v>0.96124974500000004</v>
      </c>
      <c r="AL38" s="3">
        <v>1342.8007379999999</v>
      </c>
      <c r="AM38" s="3">
        <v>0.98062487300000001</v>
      </c>
      <c r="AN38" s="3">
        <v>1278.7227849999999</v>
      </c>
      <c r="AO38" s="3">
        <v>1253.9473680000001</v>
      </c>
      <c r="AP38" s="4">
        <v>0.96692105263157901</v>
      </c>
      <c r="AQ38" s="4">
        <f t="shared" si="0"/>
        <v>1296.845657240835</v>
      </c>
      <c r="AR38" s="4">
        <f t="shared" si="1"/>
        <v>1275.0357888765504</v>
      </c>
      <c r="AS38" s="4" cm="1">
        <f t="array" ref="AS38">_xlfn.IFS(AP38&lt;0.5,AJ38,AP38&gt;0.9,AJ38,AP38,AR38)</f>
        <v>1253.9473680000001</v>
      </c>
      <c r="BE38">
        <v>2</v>
      </c>
      <c r="BJ38" s="1">
        <v>45489</v>
      </c>
      <c r="BK38" s="1">
        <v>45526</v>
      </c>
      <c r="BW38" t="s">
        <v>77</v>
      </c>
      <c r="BX38" t="s">
        <v>78</v>
      </c>
    </row>
    <row r="39" spans="1:76" x14ac:dyDescent="0.25">
      <c r="A39">
        <v>6</v>
      </c>
      <c r="B39">
        <v>3</v>
      </c>
      <c r="C39" t="s">
        <v>106</v>
      </c>
      <c r="D39">
        <v>24111</v>
      </c>
      <c r="E39">
        <v>60</v>
      </c>
      <c r="F39">
        <v>603</v>
      </c>
      <c r="G39">
        <v>22</v>
      </c>
      <c r="H39">
        <v>1</v>
      </c>
      <c r="I39">
        <v>3</v>
      </c>
      <c r="K39">
        <v>22</v>
      </c>
      <c r="L39" t="b">
        <v>0</v>
      </c>
      <c r="M39">
        <v>3</v>
      </c>
      <c r="N39" t="s">
        <v>137</v>
      </c>
      <c r="O39" t="s">
        <v>3</v>
      </c>
      <c r="P39" t="b">
        <v>0</v>
      </c>
      <c r="Q39">
        <v>3</v>
      </c>
      <c r="R39">
        <v>5</v>
      </c>
      <c r="S39">
        <v>4</v>
      </c>
      <c r="T39" t="s">
        <v>118</v>
      </c>
      <c r="Z39" t="s">
        <v>116</v>
      </c>
      <c r="AA39">
        <v>0</v>
      </c>
      <c r="AB39">
        <v>0</v>
      </c>
      <c r="AC39">
        <v>59</v>
      </c>
      <c r="AE39">
        <v>18.600000000000001</v>
      </c>
      <c r="AI39" s="3">
        <v>586</v>
      </c>
      <c r="AJ39" s="3">
        <v>765.4107831</v>
      </c>
      <c r="AK39" s="3">
        <v>0.84015026400000004</v>
      </c>
      <c r="AL39" s="3">
        <v>814.96300440000005</v>
      </c>
      <c r="AM39" s="3">
        <v>0.92007513200000002</v>
      </c>
      <c r="AN39" s="3">
        <v>831.90030509999997</v>
      </c>
      <c r="AO39" s="3">
        <v>831.90030509999997</v>
      </c>
      <c r="AP39" s="4">
        <v>0.83383443312127004</v>
      </c>
      <c r="AQ39" s="4">
        <f t="shared" si="0"/>
        <v>917.94096369330589</v>
      </c>
      <c r="AR39" s="4">
        <f t="shared" si="1"/>
        <v>834.76541750526076</v>
      </c>
      <c r="AS39" s="4" cm="1">
        <f t="array" ref="AS39">_xlfn.IFS(AP39&lt;0.5,AJ39,AP39&gt;0.9,AJ39,AP39,AR39)</f>
        <v>834.76541750526076</v>
      </c>
      <c r="BE39">
        <v>3</v>
      </c>
      <c r="BJ39" s="1">
        <v>45491</v>
      </c>
      <c r="BK39" s="1">
        <v>45536</v>
      </c>
      <c r="BW39" t="s">
        <v>77</v>
      </c>
      <c r="BX39" t="s">
        <v>78</v>
      </c>
    </row>
    <row r="40" spans="1:76" x14ac:dyDescent="0.25">
      <c r="A40">
        <v>6</v>
      </c>
      <c r="B40">
        <v>4</v>
      </c>
      <c r="C40" t="s">
        <v>106</v>
      </c>
      <c r="D40">
        <v>24111</v>
      </c>
      <c r="E40">
        <v>59</v>
      </c>
      <c r="F40">
        <v>604</v>
      </c>
      <c r="G40">
        <v>27</v>
      </c>
      <c r="H40">
        <v>1</v>
      </c>
      <c r="I40">
        <v>4</v>
      </c>
      <c r="K40">
        <v>27</v>
      </c>
      <c r="L40" t="b">
        <v>0</v>
      </c>
      <c r="M40">
        <v>4</v>
      </c>
      <c r="N40" t="s">
        <v>138</v>
      </c>
      <c r="O40" t="s">
        <v>3</v>
      </c>
      <c r="P40" t="b">
        <v>0</v>
      </c>
      <c r="Q40">
        <v>2</v>
      </c>
      <c r="R40">
        <v>4</v>
      </c>
      <c r="S40">
        <v>4</v>
      </c>
      <c r="T40" t="s">
        <v>112</v>
      </c>
      <c r="W40" t="s">
        <v>75</v>
      </c>
      <c r="Y40" t="s">
        <v>112</v>
      </c>
      <c r="Z40" t="s">
        <v>113</v>
      </c>
      <c r="AA40">
        <v>0</v>
      </c>
      <c r="AB40">
        <v>0</v>
      </c>
      <c r="AC40">
        <v>61</v>
      </c>
      <c r="AE40">
        <v>16.899999999999999</v>
      </c>
      <c r="AI40" s="3">
        <v>687</v>
      </c>
      <c r="AJ40" s="3">
        <v>916.07349169999998</v>
      </c>
      <c r="AK40" s="3">
        <v>0.89402701299999998</v>
      </c>
      <c r="AL40" s="3">
        <v>1127.36952</v>
      </c>
      <c r="AM40" s="3">
        <v>0.947013506</v>
      </c>
      <c r="AN40" s="3">
        <v>967.32885580000004</v>
      </c>
      <c r="AO40" s="3">
        <v>967.32885580000004</v>
      </c>
      <c r="AP40" s="4">
        <v>0.88950730587298799</v>
      </c>
      <c r="AQ40" s="4">
        <f t="shared" si="0"/>
        <v>1029.8661805829006</v>
      </c>
      <c r="AR40" s="4">
        <f t="shared" si="1"/>
        <v>969.64270934825186</v>
      </c>
      <c r="AS40" s="4" cm="1">
        <f t="array" ref="AS40">_xlfn.IFS(AP40&lt;0.5,AJ40,AP40&gt;0.9,AJ40,AP40,AR40)</f>
        <v>969.64270934825186</v>
      </c>
      <c r="BE40">
        <v>3</v>
      </c>
      <c r="BJ40" s="1">
        <v>45488</v>
      </c>
      <c r="BK40" s="1">
        <v>45525</v>
      </c>
      <c r="BW40" t="s">
        <v>77</v>
      </c>
      <c r="BX40" t="s">
        <v>78</v>
      </c>
    </row>
    <row r="41" spans="1:76" x14ac:dyDescent="0.25">
      <c r="A41">
        <v>6</v>
      </c>
      <c r="B41">
        <v>5</v>
      </c>
      <c r="C41" t="s">
        <v>106</v>
      </c>
      <c r="D41">
        <v>24111</v>
      </c>
      <c r="E41">
        <v>58</v>
      </c>
      <c r="F41">
        <v>605</v>
      </c>
      <c r="G41">
        <v>38</v>
      </c>
      <c r="H41">
        <v>1</v>
      </c>
      <c r="I41">
        <v>5</v>
      </c>
      <c r="K41">
        <v>38</v>
      </c>
      <c r="L41" t="b">
        <v>0</v>
      </c>
      <c r="M41">
        <v>5</v>
      </c>
      <c r="N41" t="s">
        <v>139</v>
      </c>
      <c r="O41" t="s">
        <v>3</v>
      </c>
      <c r="P41" t="b">
        <v>0</v>
      </c>
      <c r="Q41">
        <v>0</v>
      </c>
      <c r="R41">
        <v>2</v>
      </c>
      <c r="S41">
        <v>4</v>
      </c>
      <c r="T41" t="s">
        <v>115</v>
      </c>
      <c r="Z41" t="s">
        <v>116</v>
      </c>
      <c r="AA41">
        <v>0</v>
      </c>
      <c r="AB41">
        <v>0</v>
      </c>
      <c r="AC41">
        <v>55</v>
      </c>
      <c r="AE41">
        <v>17.8</v>
      </c>
      <c r="AI41" s="3">
        <v>689</v>
      </c>
      <c r="AJ41" s="3">
        <v>908.79011549999996</v>
      </c>
      <c r="AK41" s="3">
        <v>0.95024342100000003</v>
      </c>
      <c r="AL41" s="3">
        <v>1081.699494</v>
      </c>
      <c r="AM41" s="3">
        <v>0.975121711</v>
      </c>
      <c r="AN41" s="3">
        <v>931.97608639999999</v>
      </c>
      <c r="AO41" s="3">
        <v>908.79011549999996</v>
      </c>
      <c r="AP41" s="4">
        <v>0.95640789473684196</v>
      </c>
      <c r="AQ41" s="4">
        <f t="shared" si="0"/>
        <v>950.21185050971985</v>
      </c>
      <c r="AR41" s="4">
        <f t="shared" si="1"/>
        <v>929.0395095469006</v>
      </c>
      <c r="AS41" s="4" cm="1">
        <f t="array" ref="AS41">_xlfn.IFS(AP41&lt;0.5,AJ41,AP41&gt;0.9,AJ41,AP41,AR41)</f>
        <v>908.79011549999996</v>
      </c>
      <c r="BE41">
        <v>2</v>
      </c>
      <c r="BJ41" s="1">
        <v>45490</v>
      </c>
      <c r="BK41" s="1">
        <v>45526</v>
      </c>
      <c r="BW41" t="s">
        <v>77</v>
      </c>
      <c r="BX41" t="s">
        <v>78</v>
      </c>
    </row>
    <row r="42" spans="1:76" x14ac:dyDescent="0.25">
      <c r="A42">
        <v>6</v>
      </c>
      <c r="B42">
        <v>6</v>
      </c>
      <c r="C42" t="s">
        <v>106</v>
      </c>
      <c r="D42">
        <v>24111</v>
      </c>
      <c r="E42">
        <v>57</v>
      </c>
      <c r="F42">
        <v>606</v>
      </c>
      <c r="G42">
        <v>43</v>
      </c>
      <c r="H42">
        <v>1</v>
      </c>
      <c r="I42">
        <v>6</v>
      </c>
      <c r="K42">
        <v>43</v>
      </c>
      <c r="L42" t="b">
        <v>0</v>
      </c>
      <c r="M42">
        <v>6</v>
      </c>
      <c r="N42" t="s">
        <v>140</v>
      </c>
      <c r="O42" t="s">
        <v>3</v>
      </c>
      <c r="P42" t="b">
        <v>0</v>
      </c>
      <c r="Q42">
        <v>0</v>
      </c>
      <c r="R42">
        <v>1</v>
      </c>
      <c r="S42">
        <v>4</v>
      </c>
      <c r="T42" t="s">
        <v>108</v>
      </c>
      <c r="W42" t="s">
        <v>75</v>
      </c>
      <c r="Z42" t="s">
        <v>109</v>
      </c>
      <c r="AA42">
        <v>0</v>
      </c>
      <c r="AB42">
        <v>0</v>
      </c>
      <c r="AC42">
        <v>57</v>
      </c>
      <c r="AE42">
        <v>16.8</v>
      </c>
      <c r="AI42" s="3">
        <v>726</v>
      </c>
      <c r="AJ42" s="3">
        <v>969.24261869999998</v>
      </c>
      <c r="AK42" s="3">
        <v>0.96519056000000003</v>
      </c>
      <c r="AL42" s="3">
        <v>1131.850377</v>
      </c>
      <c r="AM42" s="3">
        <v>0.98259527999999996</v>
      </c>
      <c r="AN42" s="3">
        <v>986.41082259999996</v>
      </c>
      <c r="AO42" s="3">
        <v>969.24261869999998</v>
      </c>
      <c r="AP42" s="4">
        <v>0.97241411071198303</v>
      </c>
      <c r="AQ42" s="4">
        <f t="shared" si="0"/>
        <v>996.73853764867636</v>
      </c>
      <c r="AR42" s="4">
        <f t="shared" si="1"/>
        <v>982.7983012655817</v>
      </c>
      <c r="AS42" s="4" cm="1">
        <f t="array" ref="AS42">_xlfn.IFS(AP42&lt;0.5,AJ42,AP42&gt;0.9,AJ42,AP42,AR42)</f>
        <v>969.24261869999998</v>
      </c>
      <c r="BE42">
        <v>2</v>
      </c>
      <c r="BJ42" s="1">
        <v>45488</v>
      </c>
      <c r="BK42" s="1">
        <v>45526</v>
      </c>
      <c r="BW42" t="s">
        <v>77</v>
      </c>
      <c r="BX42" t="s">
        <v>78</v>
      </c>
    </row>
    <row r="43" spans="1:76" x14ac:dyDescent="0.25">
      <c r="A43">
        <v>6</v>
      </c>
      <c r="B43">
        <v>7</v>
      </c>
      <c r="C43" t="s">
        <v>106</v>
      </c>
      <c r="D43">
        <v>24111</v>
      </c>
      <c r="E43">
        <v>56</v>
      </c>
      <c r="F43">
        <v>607</v>
      </c>
      <c r="G43">
        <v>54</v>
      </c>
      <c r="H43">
        <v>1</v>
      </c>
      <c r="I43">
        <v>7</v>
      </c>
      <c r="K43">
        <v>54</v>
      </c>
      <c r="L43" t="b">
        <v>0</v>
      </c>
      <c r="M43">
        <v>7</v>
      </c>
      <c r="N43" t="s">
        <v>141</v>
      </c>
      <c r="O43" t="s">
        <v>3</v>
      </c>
      <c r="P43" t="b">
        <v>0</v>
      </c>
      <c r="Q43">
        <v>1</v>
      </c>
      <c r="R43">
        <v>3</v>
      </c>
      <c r="S43">
        <v>4</v>
      </c>
      <c r="T43" t="s">
        <v>121</v>
      </c>
      <c r="Z43" t="s">
        <v>122</v>
      </c>
      <c r="AA43">
        <v>0</v>
      </c>
      <c r="AB43">
        <v>0</v>
      </c>
      <c r="AC43">
        <v>57</v>
      </c>
      <c r="AE43">
        <v>17.899999999999999</v>
      </c>
      <c r="AI43" s="3">
        <v>865</v>
      </c>
      <c r="AJ43" s="3">
        <v>1139.5458920000001</v>
      </c>
      <c r="AK43" s="3">
        <v>0.92398026300000002</v>
      </c>
      <c r="AL43" s="3">
        <v>2125.8618970000002</v>
      </c>
      <c r="AM43" s="3">
        <v>0.96199013200000005</v>
      </c>
      <c r="AN43" s="3">
        <v>1184.571291</v>
      </c>
      <c r="AO43" s="3">
        <v>1139.5458920000001</v>
      </c>
      <c r="AP43" s="4">
        <v>0.93287632480937899</v>
      </c>
      <c r="AQ43" s="4">
        <f t="shared" si="0"/>
        <v>1221.5401567113961</v>
      </c>
      <c r="AR43" s="4">
        <f t="shared" si="1"/>
        <v>1179.1193025372511</v>
      </c>
      <c r="AS43" s="4" cm="1">
        <f t="array" ref="AS43">_xlfn.IFS(AP43&lt;0.5,AJ43,AP43&gt;0.9,AJ43,AP43,AR43)</f>
        <v>1139.5458920000001</v>
      </c>
      <c r="BE43">
        <v>3</v>
      </c>
      <c r="BJ43" s="1">
        <v>45488</v>
      </c>
      <c r="BK43" s="1">
        <v>45528</v>
      </c>
      <c r="BW43" t="s">
        <v>77</v>
      </c>
      <c r="BX43" t="s">
        <v>78</v>
      </c>
    </row>
    <row r="44" spans="1:76" x14ac:dyDescent="0.25">
      <c r="A44">
        <v>7</v>
      </c>
      <c r="B44">
        <v>1</v>
      </c>
      <c r="C44" t="s">
        <v>131</v>
      </c>
      <c r="D44">
        <v>24112</v>
      </c>
      <c r="E44">
        <v>35</v>
      </c>
      <c r="F44">
        <v>701</v>
      </c>
      <c r="G44">
        <v>7</v>
      </c>
      <c r="H44">
        <v>1</v>
      </c>
      <c r="I44">
        <v>1</v>
      </c>
      <c r="K44">
        <v>7</v>
      </c>
      <c r="L44" t="b">
        <v>0</v>
      </c>
      <c r="M44">
        <v>1</v>
      </c>
      <c r="N44">
        <v>1454937292</v>
      </c>
      <c r="O44" t="s">
        <v>3</v>
      </c>
      <c r="P44" t="b">
        <v>0</v>
      </c>
      <c r="Q44">
        <v>2</v>
      </c>
      <c r="R44">
        <v>3</v>
      </c>
      <c r="S44">
        <v>1</v>
      </c>
      <c r="T44" t="s">
        <v>142</v>
      </c>
      <c r="Y44" t="s">
        <v>134</v>
      </c>
      <c r="Z44" t="s">
        <v>88</v>
      </c>
      <c r="AA44">
        <v>0</v>
      </c>
      <c r="AB44">
        <v>0</v>
      </c>
      <c r="AC44">
        <v>45</v>
      </c>
      <c r="AE44">
        <v>20</v>
      </c>
      <c r="AI44" s="3">
        <v>186</v>
      </c>
      <c r="AJ44" s="3">
        <v>238.76765080000001</v>
      </c>
      <c r="AK44" s="3">
        <v>0.85633458100000004</v>
      </c>
      <c r="AL44" s="3">
        <v>258.06294969999999</v>
      </c>
      <c r="AM44" s="3">
        <v>0.92816729099999995</v>
      </c>
      <c r="AN44" s="3">
        <v>257.24635339999998</v>
      </c>
      <c r="AO44" s="3">
        <v>257.24635339999998</v>
      </c>
      <c r="AP44" s="4">
        <v>0.84759009986973499</v>
      </c>
      <c r="AQ44" s="4">
        <f t="shared" si="0"/>
        <v>281.70179292643451</v>
      </c>
      <c r="AR44" s="4">
        <f t="shared" si="1"/>
        <v>258.46387769325503</v>
      </c>
      <c r="AS44" s="4" cm="1">
        <f t="array" ref="AS44">_xlfn.IFS(AP44&lt;0.5,AJ44,AP44&gt;0.9,AJ44,AP44,AR44)</f>
        <v>258.46387769325503</v>
      </c>
      <c r="BE44">
        <v>3</v>
      </c>
      <c r="BJ44" s="1">
        <v>45489</v>
      </c>
      <c r="BK44" s="1">
        <v>45522</v>
      </c>
      <c r="BW44" t="s">
        <v>77</v>
      </c>
      <c r="BX44" t="s">
        <v>78</v>
      </c>
    </row>
    <row r="45" spans="1:76" x14ac:dyDescent="0.25">
      <c r="A45">
        <v>7</v>
      </c>
      <c r="B45">
        <v>2</v>
      </c>
      <c r="C45" t="s">
        <v>131</v>
      </c>
      <c r="D45">
        <v>24112</v>
      </c>
      <c r="E45">
        <v>36</v>
      </c>
      <c r="F45">
        <v>702</v>
      </c>
      <c r="G45">
        <v>10</v>
      </c>
      <c r="H45">
        <v>1</v>
      </c>
      <c r="I45">
        <v>2</v>
      </c>
      <c r="K45">
        <v>10</v>
      </c>
      <c r="L45" t="b">
        <v>0</v>
      </c>
      <c r="M45">
        <v>2</v>
      </c>
      <c r="N45" t="s">
        <v>143</v>
      </c>
      <c r="O45" t="s">
        <v>3</v>
      </c>
      <c r="P45" t="b">
        <v>0</v>
      </c>
      <c r="Q45">
        <v>3</v>
      </c>
      <c r="R45">
        <v>4</v>
      </c>
      <c r="S45">
        <v>1</v>
      </c>
      <c r="T45" t="s">
        <v>144</v>
      </c>
      <c r="Z45" t="s">
        <v>145</v>
      </c>
      <c r="AA45">
        <v>0</v>
      </c>
      <c r="AB45">
        <v>0</v>
      </c>
      <c r="AC45">
        <v>47</v>
      </c>
      <c r="AE45">
        <v>17.899999999999999</v>
      </c>
      <c r="AI45" s="3">
        <v>897</v>
      </c>
      <c r="AJ45" s="3">
        <v>1181.702503</v>
      </c>
      <c r="AK45" s="3">
        <v>0.97192068300000001</v>
      </c>
      <c r="AL45" s="3">
        <v>1390.9380140000001</v>
      </c>
      <c r="AM45" s="3">
        <v>0.98596034200000005</v>
      </c>
      <c r="AN45" s="3">
        <v>1198.5294469999999</v>
      </c>
      <c r="AO45" s="3">
        <v>1181.702503</v>
      </c>
      <c r="AP45" s="4">
        <v>0.97512516365023905</v>
      </c>
      <c r="AQ45" s="4">
        <f t="shared" si="0"/>
        <v>1211.8469987754893</v>
      </c>
      <c r="AR45" s="4">
        <f t="shared" si="1"/>
        <v>1196.584930158137</v>
      </c>
      <c r="AS45" s="4" cm="1">
        <f t="array" ref="AS45">_xlfn.IFS(AP45&lt;0.5,AJ45,AP45&gt;0.9,AJ45,AP45,AR45)</f>
        <v>1181.702503</v>
      </c>
      <c r="BE45">
        <v>1</v>
      </c>
      <c r="BJ45" s="1">
        <v>45487</v>
      </c>
      <c r="BK45" s="1">
        <v>45524</v>
      </c>
      <c r="BW45" t="s">
        <v>77</v>
      </c>
      <c r="BX45" t="s">
        <v>78</v>
      </c>
    </row>
    <row r="46" spans="1:76" x14ac:dyDescent="0.25">
      <c r="A46">
        <v>7</v>
      </c>
      <c r="B46">
        <v>3</v>
      </c>
      <c r="C46" t="s">
        <v>131</v>
      </c>
      <c r="D46">
        <v>24112</v>
      </c>
      <c r="E46">
        <v>37</v>
      </c>
      <c r="F46">
        <v>703</v>
      </c>
      <c r="G46">
        <v>23</v>
      </c>
      <c r="H46">
        <v>1</v>
      </c>
      <c r="I46">
        <v>3</v>
      </c>
      <c r="K46">
        <v>23</v>
      </c>
      <c r="L46" t="b">
        <v>0</v>
      </c>
      <c r="M46">
        <v>3</v>
      </c>
      <c r="N46" t="s">
        <v>146</v>
      </c>
      <c r="O46" t="s">
        <v>3</v>
      </c>
      <c r="P46" t="b">
        <v>0</v>
      </c>
      <c r="Q46">
        <v>0</v>
      </c>
      <c r="R46">
        <v>1</v>
      </c>
      <c r="S46">
        <v>2</v>
      </c>
      <c r="T46" t="s">
        <v>136</v>
      </c>
      <c r="W46" t="s">
        <v>75</v>
      </c>
      <c r="Z46" t="s">
        <v>134</v>
      </c>
      <c r="AA46">
        <v>0</v>
      </c>
      <c r="AB46">
        <v>0</v>
      </c>
      <c r="AC46">
        <v>46</v>
      </c>
      <c r="AE46">
        <v>18.100000000000001</v>
      </c>
      <c r="AI46" s="3">
        <v>562</v>
      </c>
      <c r="AJ46" s="3">
        <v>738.57188699999995</v>
      </c>
      <c r="AK46" s="3">
        <v>0.91158727100000003</v>
      </c>
      <c r="AL46" s="3">
        <v>783.42862509999998</v>
      </c>
      <c r="AM46" s="3">
        <v>0.955793636</v>
      </c>
      <c r="AN46" s="3">
        <v>772.731539</v>
      </c>
      <c r="AO46" s="3">
        <v>738.57188699999995</v>
      </c>
      <c r="AP46" s="4">
        <v>0.90657236842105304</v>
      </c>
      <c r="AQ46" s="4">
        <f t="shared" si="0"/>
        <v>814.68607772189887</v>
      </c>
      <c r="AR46" s="4">
        <f t="shared" si="1"/>
        <v>774.76407319555949</v>
      </c>
      <c r="AS46" s="4" cm="1">
        <f t="array" ref="AS46">_xlfn.IFS(AP46&lt;0.5,AJ46,AP46&gt;0.9,AJ46,AP46,AR46)</f>
        <v>738.57188699999995</v>
      </c>
      <c r="BE46">
        <v>1</v>
      </c>
      <c r="BJ46" s="1">
        <v>45489</v>
      </c>
      <c r="BK46" s="1">
        <v>45522</v>
      </c>
      <c r="BW46" t="s">
        <v>77</v>
      </c>
      <c r="BX46" t="s">
        <v>78</v>
      </c>
    </row>
    <row r="47" spans="1:76" x14ac:dyDescent="0.25">
      <c r="A47">
        <v>7</v>
      </c>
      <c r="B47">
        <v>4</v>
      </c>
      <c r="C47" t="s">
        <v>131</v>
      </c>
      <c r="D47">
        <v>24112</v>
      </c>
      <c r="E47">
        <v>38</v>
      </c>
      <c r="F47">
        <v>704</v>
      </c>
      <c r="G47">
        <v>26</v>
      </c>
      <c r="H47">
        <v>1</v>
      </c>
      <c r="I47">
        <v>4</v>
      </c>
      <c r="K47">
        <v>26</v>
      </c>
      <c r="L47" t="b">
        <v>0</v>
      </c>
      <c r="M47">
        <v>4</v>
      </c>
      <c r="N47" t="s">
        <v>147</v>
      </c>
      <c r="O47" t="s">
        <v>3</v>
      </c>
      <c r="P47" t="b">
        <v>0</v>
      </c>
      <c r="Q47">
        <v>1</v>
      </c>
      <c r="R47">
        <v>2</v>
      </c>
      <c r="S47">
        <v>2</v>
      </c>
      <c r="T47" t="s">
        <v>133</v>
      </c>
      <c r="W47" t="s">
        <v>75</v>
      </c>
      <c r="Z47" t="s">
        <v>134</v>
      </c>
      <c r="AA47">
        <v>0</v>
      </c>
      <c r="AB47">
        <v>0</v>
      </c>
      <c r="AC47">
        <v>55</v>
      </c>
      <c r="AE47">
        <v>18.399999999999999</v>
      </c>
      <c r="AI47" s="3">
        <v>368</v>
      </c>
      <c r="AJ47" s="3">
        <v>481.84852369999999</v>
      </c>
      <c r="AK47" s="3">
        <v>0.66646052600000005</v>
      </c>
      <c r="AL47" s="3">
        <v>538.59286320000001</v>
      </c>
      <c r="AM47" s="3">
        <v>0.83323026300000003</v>
      </c>
      <c r="AN47" s="3">
        <v>578.28975379999997</v>
      </c>
      <c r="AO47" s="3">
        <v>578.28975379999997</v>
      </c>
      <c r="AP47" s="4">
        <v>0.67427860892906499</v>
      </c>
      <c r="AQ47" s="4">
        <f t="shared" si="0"/>
        <v>714.6133917332844</v>
      </c>
      <c r="AR47" s="4">
        <f t="shared" si="1"/>
        <v>575.58941639732154</v>
      </c>
      <c r="AS47" s="4" cm="1">
        <f t="array" ref="AS47">_xlfn.IFS(AP47&lt;0.5,AJ47,AP47&gt;0.9,AJ47,AP47,AR47)</f>
        <v>575.58941639732154</v>
      </c>
      <c r="BE47">
        <v>2</v>
      </c>
      <c r="BJ47" s="1">
        <v>45492</v>
      </c>
      <c r="BK47" s="1">
        <v>45525</v>
      </c>
      <c r="BW47" t="s">
        <v>77</v>
      </c>
      <c r="BX47" t="s">
        <v>78</v>
      </c>
    </row>
    <row r="48" spans="1:76" x14ac:dyDescent="0.25">
      <c r="A48">
        <v>7</v>
      </c>
      <c r="B48">
        <v>5</v>
      </c>
      <c r="C48" t="s">
        <v>131</v>
      </c>
      <c r="D48">
        <v>24112</v>
      </c>
      <c r="E48">
        <v>39</v>
      </c>
      <c r="F48">
        <v>705</v>
      </c>
      <c r="G48">
        <v>39</v>
      </c>
      <c r="H48">
        <v>1</v>
      </c>
      <c r="I48">
        <v>5</v>
      </c>
      <c r="K48">
        <v>39</v>
      </c>
      <c r="L48" t="b">
        <v>0</v>
      </c>
      <c r="M48">
        <v>5</v>
      </c>
      <c r="N48" t="s">
        <v>148</v>
      </c>
      <c r="O48" t="s">
        <v>3</v>
      </c>
      <c r="P48" t="b">
        <v>0</v>
      </c>
      <c r="Q48">
        <v>2</v>
      </c>
      <c r="R48">
        <v>3</v>
      </c>
      <c r="S48">
        <v>2</v>
      </c>
      <c r="T48" t="s">
        <v>142</v>
      </c>
      <c r="Y48" t="s">
        <v>134</v>
      </c>
      <c r="Z48" t="s">
        <v>88</v>
      </c>
      <c r="AA48">
        <v>0</v>
      </c>
      <c r="AB48">
        <v>0</v>
      </c>
      <c r="AC48">
        <v>45</v>
      </c>
      <c r="AE48">
        <v>18.600000000000001</v>
      </c>
      <c r="AI48" s="3">
        <v>273</v>
      </c>
      <c r="AJ48" s="3">
        <v>356.58215660000002</v>
      </c>
      <c r="AK48" s="3">
        <v>0.95867736000000003</v>
      </c>
      <c r="AL48" s="3">
        <v>398.84942109999997</v>
      </c>
      <c r="AM48" s="3">
        <v>0.97933868000000002</v>
      </c>
      <c r="AN48" s="3">
        <v>364.10504759999998</v>
      </c>
      <c r="AO48" s="3">
        <v>356.58215660000002</v>
      </c>
      <c r="AP48" s="4">
        <v>0.963263641267878</v>
      </c>
      <c r="AQ48" s="4">
        <f t="shared" si="0"/>
        <v>370.18126847459467</v>
      </c>
      <c r="AR48" s="4">
        <f t="shared" si="1"/>
        <v>363.25448004499168</v>
      </c>
      <c r="AS48" s="4" cm="1">
        <f t="array" ref="AS48">_xlfn.IFS(AP48&lt;0.5,AJ48,AP48&gt;0.9,AJ48,AP48,AR48)</f>
        <v>356.58215660000002</v>
      </c>
      <c r="BE48">
        <v>3</v>
      </c>
      <c r="BJ48" s="1">
        <v>45489</v>
      </c>
      <c r="BK48" s="1">
        <v>45523</v>
      </c>
      <c r="BW48" t="s">
        <v>77</v>
      </c>
      <c r="BX48" t="s">
        <v>78</v>
      </c>
    </row>
    <row r="49" spans="1:76" x14ac:dyDescent="0.25">
      <c r="A49">
        <v>7</v>
      </c>
      <c r="B49">
        <v>6</v>
      </c>
      <c r="C49" t="s">
        <v>131</v>
      </c>
      <c r="D49">
        <v>24112</v>
      </c>
      <c r="E49">
        <v>40</v>
      </c>
      <c r="F49">
        <v>706</v>
      </c>
      <c r="G49">
        <v>42</v>
      </c>
      <c r="H49">
        <v>1</v>
      </c>
      <c r="I49">
        <v>6</v>
      </c>
      <c r="K49">
        <v>42</v>
      </c>
      <c r="L49" t="b">
        <v>0</v>
      </c>
      <c r="M49">
        <v>6</v>
      </c>
      <c r="N49" t="s">
        <v>149</v>
      </c>
      <c r="O49" t="s">
        <v>3</v>
      </c>
      <c r="P49" t="b">
        <v>0</v>
      </c>
      <c r="Q49">
        <v>3</v>
      </c>
      <c r="R49">
        <v>4</v>
      </c>
      <c r="S49">
        <v>2</v>
      </c>
      <c r="T49" t="s">
        <v>144</v>
      </c>
      <c r="Z49" t="s">
        <v>145</v>
      </c>
      <c r="AA49">
        <v>0</v>
      </c>
      <c r="AB49">
        <v>0</v>
      </c>
      <c r="AC49">
        <v>48</v>
      </c>
      <c r="AE49">
        <v>17.5</v>
      </c>
      <c r="AI49" s="3">
        <v>830</v>
      </c>
      <c r="AJ49" s="3">
        <v>1098.7644419999999</v>
      </c>
      <c r="AK49" s="3">
        <v>0.95854632500000003</v>
      </c>
      <c r="AL49" s="3">
        <v>1189.164407</v>
      </c>
      <c r="AM49" s="3">
        <v>0.979273163</v>
      </c>
      <c r="AN49" s="3">
        <v>1122.0203759999999</v>
      </c>
      <c r="AO49" s="3">
        <v>1098.7644419999999</v>
      </c>
      <c r="AP49" s="4">
        <v>0.96273001796064495</v>
      </c>
      <c r="AQ49" s="4">
        <f t="shared" si="0"/>
        <v>1141.3006985359377</v>
      </c>
      <c r="AR49" s="4">
        <f t="shared" si="1"/>
        <v>1119.6287130123583</v>
      </c>
      <c r="AS49" s="4" cm="1">
        <f t="array" ref="AS49">_xlfn.IFS(AP49&lt;0.5,AJ49,AP49&gt;0.9,AJ49,AP49,AR49)</f>
        <v>1098.7644419999999</v>
      </c>
      <c r="BE49">
        <v>1</v>
      </c>
      <c r="BJ49" s="1">
        <v>45488</v>
      </c>
      <c r="BK49" s="1">
        <v>45525</v>
      </c>
      <c r="BW49" t="s">
        <v>77</v>
      </c>
      <c r="BX49" t="s">
        <v>78</v>
      </c>
    </row>
    <row r="50" spans="1:76" x14ac:dyDescent="0.25">
      <c r="A50">
        <v>7</v>
      </c>
      <c r="B50">
        <v>7</v>
      </c>
      <c r="C50" t="s">
        <v>131</v>
      </c>
      <c r="D50">
        <v>24112</v>
      </c>
      <c r="E50">
        <v>41</v>
      </c>
      <c r="F50">
        <v>707</v>
      </c>
      <c r="G50">
        <v>55</v>
      </c>
      <c r="H50">
        <v>1</v>
      </c>
      <c r="I50">
        <v>7</v>
      </c>
      <c r="K50">
        <v>55</v>
      </c>
      <c r="L50" t="b">
        <v>0</v>
      </c>
      <c r="M50">
        <v>7</v>
      </c>
      <c r="N50" t="s">
        <v>150</v>
      </c>
      <c r="O50" t="s">
        <v>3</v>
      </c>
      <c r="P50" t="b">
        <v>0</v>
      </c>
      <c r="Q50">
        <v>3</v>
      </c>
      <c r="R50">
        <v>4</v>
      </c>
      <c r="S50">
        <v>3</v>
      </c>
      <c r="T50" t="s">
        <v>144</v>
      </c>
      <c r="Z50" t="s">
        <v>145</v>
      </c>
      <c r="AA50">
        <v>0</v>
      </c>
      <c r="AB50">
        <v>0</v>
      </c>
      <c r="AC50">
        <v>46</v>
      </c>
      <c r="AE50">
        <v>18</v>
      </c>
      <c r="AI50" s="3">
        <v>804</v>
      </c>
      <c r="AJ50" s="3">
        <v>1057.8947370000001</v>
      </c>
      <c r="AK50" s="3">
        <v>0.95764473699999997</v>
      </c>
      <c r="AL50" s="3">
        <v>1133.7767260000001</v>
      </c>
      <c r="AM50" s="3">
        <v>0.978822368</v>
      </c>
      <c r="AN50" s="3">
        <v>1080.7831650000001</v>
      </c>
      <c r="AO50" s="3">
        <v>1057.8947370000001</v>
      </c>
      <c r="AP50" s="4">
        <v>0.95890104540161403</v>
      </c>
      <c r="AQ50" s="4">
        <f t="shared" si="0"/>
        <v>1103.2366082747619</v>
      </c>
      <c r="AR50" s="4">
        <f t="shared" si="1"/>
        <v>1080.0900223963181</v>
      </c>
      <c r="AS50" s="4" cm="1">
        <f t="array" ref="AS50">_xlfn.IFS(AP50&lt;0.5,AJ50,AP50&gt;0.9,AJ50,AP50,AR50)</f>
        <v>1057.8947370000001</v>
      </c>
      <c r="BE50">
        <v>1</v>
      </c>
      <c r="BJ50" s="1">
        <v>45488</v>
      </c>
      <c r="BK50" s="1">
        <v>45528</v>
      </c>
      <c r="BW50" t="s">
        <v>77</v>
      </c>
      <c r="BX50" t="s">
        <v>78</v>
      </c>
    </row>
    <row r="51" spans="1:76" x14ac:dyDescent="0.25">
      <c r="A51">
        <v>8</v>
      </c>
      <c r="B51">
        <v>1</v>
      </c>
      <c r="C51" t="s">
        <v>131</v>
      </c>
      <c r="D51">
        <v>24112</v>
      </c>
      <c r="E51">
        <v>48</v>
      </c>
      <c r="F51">
        <v>801</v>
      </c>
      <c r="G51">
        <v>8</v>
      </c>
      <c r="H51">
        <v>1</v>
      </c>
      <c r="I51">
        <v>1</v>
      </c>
      <c r="K51">
        <v>8</v>
      </c>
      <c r="L51" t="b">
        <v>0</v>
      </c>
      <c r="M51">
        <v>1</v>
      </c>
      <c r="N51" t="s">
        <v>151</v>
      </c>
      <c r="O51" t="s">
        <v>3</v>
      </c>
      <c r="P51" t="b">
        <v>0</v>
      </c>
      <c r="Q51">
        <v>2</v>
      </c>
      <c r="R51">
        <v>3</v>
      </c>
      <c r="S51">
        <v>4</v>
      </c>
      <c r="T51" t="s">
        <v>142</v>
      </c>
      <c r="Y51" t="s">
        <v>134</v>
      </c>
      <c r="Z51" t="s">
        <v>88</v>
      </c>
      <c r="AA51">
        <v>0</v>
      </c>
      <c r="AB51">
        <v>0</v>
      </c>
      <c r="AC51">
        <v>47</v>
      </c>
      <c r="AE51">
        <v>17.7</v>
      </c>
      <c r="AI51" s="3">
        <v>311</v>
      </c>
      <c r="AJ51" s="3">
        <v>410.70763799999997</v>
      </c>
      <c r="AK51" s="3">
        <v>0.92284716099999997</v>
      </c>
      <c r="AL51" s="3">
        <v>456.7150661</v>
      </c>
      <c r="AM51" s="3">
        <v>0.96142358100000003</v>
      </c>
      <c r="AN51" s="3">
        <v>427.18698210000002</v>
      </c>
      <c r="AO51" s="3">
        <v>410.70763799999997</v>
      </c>
      <c r="AP51" s="4">
        <v>0.93324342105263203</v>
      </c>
      <c r="AQ51" s="4">
        <f t="shared" si="0"/>
        <v>440.08629338822561</v>
      </c>
      <c r="AR51" s="4">
        <f t="shared" si="1"/>
        <v>424.88973041622842</v>
      </c>
      <c r="AS51" s="4" cm="1">
        <f t="array" ref="AS51">_xlfn.IFS(AP51&lt;0.5,AJ51,AP51&gt;0.9,AJ51,AP51,AR51)</f>
        <v>410.70763799999997</v>
      </c>
      <c r="BE51">
        <v>4</v>
      </c>
      <c r="BJ51" s="1">
        <v>45489</v>
      </c>
      <c r="BK51" s="1">
        <v>45522</v>
      </c>
      <c r="BW51" t="s">
        <v>77</v>
      </c>
      <c r="BX51" t="s">
        <v>78</v>
      </c>
    </row>
    <row r="52" spans="1:76" x14ac:dyDescent="0.25">
      <c r="A52">
        <v>8</v>
      </c>
      <c r="B52">
        <v>2</v>
      </c>
      <c r="C52" t="s">
        <v>131</v>
      </c>
      <c r="D52">
        <v>24112</v>
      </c>
      <c r="E52">
        <v>47</v>
      </c>
      <c r="F52">
        <v>802</v>
      </c>
      <c r="G52">
        <v>9</v>
      </c>
      <c r="H52">
        <v>1</v>
      </c>
      <c r="I52">
        <v>2</v>
      </c>
      <c r="K52">
        <v>9</v>
      </c>
      <c r="L52" t="b">
        <v>0</v>
      </c>
      <c r="M52">
        <v>2</v>
      </c>
      <c r="N52" t="s">
        <v>152</v>
      </c>
      <c r="O52" t="s">
        <v>3</v>
      </c>
      <c r="P52" t="b">
        <v>0</v>
      </c>
      <c r="Q52">
        <v>1</v>
      </c>
      <c r="R52">
        <v>2</v>
      </c>
      <c r="S52">
        <v>4</v>
      </c>
      <c r="T52" t="s">
        <v>133</v>
      </c>
      <c r="W52" t="s">
        <v>75</v>
      </c>
      <c r="Z52" t="s">
        <v>134</v>
      </c>
      <c r="AA52">
        <v>0</v>
      </c>
      <c r="AB52">
        <v>0</v>
      </c>
      <c r="AC52">
        <v>51</v>
      </c>
      <c r="AE52">
        <v>17.899999999999999</v>
      </c>
      <c r="AI52" s="3">
        <v>366</v>
      </c>
      <c r="AJ52" s="3">
        <v>482.16623879999997</v>
      </c>
      <c r="AK52" s="3">
        <v>0.68458050400000003</v>
      </c>
      <c r="AL52" s="3">
        <v>514.8709192</v>
      </c>
      <c r="AM52" s="3">
        <v>0.84229025199999996</v>
      </c>
      <c r="AN52" s="3">
        <v>572.44665689999999</v>
      </c>
      <c r="AO52" s="3">
        <v>572.44665689999999</v>
      </c>
      <c r="AP52" s="4">
        <v>0.68985945762520196</v>
      </c>
      <c r="AQ52" s="4">
        <f t="shared" si="0"/>
        <v>698.93401253035961</v>
      </c>
      <c r="AR52" s="4">
        <f t="shared" si="1"/>
        <v>570.65839010967125</v>
      </c>
      <c r="AS52" s="4" cm="1">
        <f t="array" ref="AS52">_xlfn.IFS(AP52&lt;0.5,AJ52,AP52&gt;0.9,AJ52,AP52,AR52)</f>
        <v>570.65839010967125</v>
      </c>
      <c r="BE52">
        <v>2</v>
      </c>
      <c r="BJ52" s="1">
        <v>45491</v>
      </c>
      <c r="BK52" s="1">
        <v>45525</v>
      </c>
      <c r="BW52" t="s">
        <v>77</v>
      </c>
      <c r="BX52" t="s">
        <v>78</v>
      </c>
    </row>
    <row r="53" spans="1:76" x14ac:dyDescent="0.25">
      <c r="A53">
        <v>8</v>
      </c>
      <c r="B53">
        <v>3</v>
      </c>
      <c r="C53" t="s">
        <v>131</v>
      </c>
      <c r="D53">
        <v>24112</v>
      </c>
      <c r="E53">
        <v>46</v>
      </c>
      <c r="F53">
        <v>803</v>
      </c>
      <c r="G53">
        <v>24</v>
      </c>
      <c r="H53">
        <v>1</v>
      </c>
      <c r="I53">
        <v>3</v>
      </c>
      <c r="K53">
        <v>24</v>
      </c>
      <c r="L53" t="b">
        <v>0</v>
      </c>
      <c r="M53">
        <v>3</v>
      </c>
      <c r="N53" t="s">
        <v>153</v>
      </c>
      <c r="O53" t="s">
        <v>3</v>
      </c>
      <c r="P53" t="b">
        <v>0</v>
      </c>
      <c r="Q53">
        <v>3</v>
      </c>
      <c r="R53">
        <v>4</v>
      </c>
      <c r="S53">
        <v>4</v>
      </c>
      <c r="T53" t="s">
        <v>144</v>
      </c>
      <c r="Z53" t="s">
        <v>145</v>
      </c>
      <c r="AA53">
        <v>0</v>
      </c>
      <c r="AB53">
        <v>0</v>
      </c>
      <c r="AC53">
        <v>46</v>
      </c>
      <c r="AE53">
        <v>18.100000000000001</v>
      </c>
      <c r="AI53" s="3">
        <v>780</v>
      </c>
      <c r="AJ53" s="3">
        <v>1025.064185</v>
      </c>
      <c r="AK53" s="3">
        <v>0.93757360099999998</v>
      </c>
      <c r="AL53" s="3">
        <v>1124.272534</v>
      </c>
      <c r="AM53" s="3">
        <v>0.96878679999999995</v>
      </c>
      <c r="AN53" s="3">
        <v>1058.0905780000001</v>
      </c>
      <c r="AO53" s="3">
        <v>1025.064185</v>
      </c>
      <c r="AP53" s="4">
        <v>0.94347368421052602</v>
      </c>
      <c r="AQ53" s="4">
        <f t="shared" si="0"/>
        <v>1086.478830469709</v>
      </c>
      <c r="AR53" s="4">
        <f t="shared" si="1"/>
        <v>1054.8783791908143</v>
      </c>
      <c r="AS53" s="4" cm="1">
        <f t="array" ref="AS53">_xlfn.IFS(AP53&lt;0.5,AJ53,AP53&gt;0.9,AJ53,AP53,AR53)</f>
        <v>1025.064185</v>
      </c>
      <c r="BE53">
        <v>2</v>
      </c>
      <c r="BJ53" s="1">
        <v>45489</v>
      </c>
      <c r="BK53" s="1">
        <v>45527</v>
      </c>
      <c r="BW53" t="s">
        <v>77</v>
      </c>
      <c r="BX53" t="s">
        <v>78</v>
      </c>
    </row>
    <row r="54" spans="1:76" x14ac:dyDescent="0.25">
      <c r="A54">
        <v>8</v>
      </c>
      <c r="B54">
        <v>4</v>
      </c>
      <c r="C54" t="s">
        <v>131</v>
      </c>
      <c r="D54">
        <v>24112</v>
      </c>
      <c r="E54">
        <v>45</v>
      </c>
      <c r="F54">
        <v>804</v>
      </c>
      <c r="G54">
        <v>25</v>
      </c>
      <c r="H54">
        <v>1</v>
      </c>
      <c r="I54">
        <v>4</v>
      </c>
      <c r="K54">
        <v>25</v>
      </c>
      <c r="L54" t="b">
        <v>0</v>
      </c>
      <c r="M54">
        <v>4</v>
      </c>
      <c r="N54" t="s">
        <v>154</v>
      </c>
      <c r="O54" t="s">
        <v>3</v>
      </c>
      <c r="P54" t="b">
        <v>0</v>
      </c>
      <c r="Q54">
        <v>0</v>
      </c>
      <c r="R54">
        <v>1</v>
      </c>
      <c r="S54">
        <v>4</v>
      </c>
      <c r="T54" t="s">
        <v>136</v>
      </c>
      <c r="W54" t="s">
        <v>75</v>
      </c>
      <c r="Z54" t="s">
        <v>134</v>
      </c>
      <c r="AA54">
        <v>0</v>
      </c>
      <c r="AB54">
        <v>0</v>
      </c>
      <c r="AC54">
        <v>46</v>
      </c>
      <c r="AE54">
        <v>18.5</v>
      </c>
      <c r="AI54" s="3">
        <v>550</v>
      </c>
      <c r="AJ54" s="3">
        <v>719.27150189999998</v>
      </c>
      <c r="AK54" s="3">
        <v>0.93509167800000004</v>
      </c>
      <c r="AL54" s="3">
        <v>758.95696199999998</v>
      </c>
      <c r="AM54" s="3">
        <v>0.96754583900000002</v>
      </c>
      <c r="AN54" s="3">
        <v>743.39785549999999</v>
      </c>
      <c r="AO54" s="3">
        <v>719.27150189999998</v>
      </c>
      <c r="AP54" s="4">
        <v>0.93892763157894699</v>
      </c>
      <c r="AQ54" s="4">
        <f t="shared" si="0"/>
        <v>766.05637932972274</v>
      </c>
      <c r="AR54" s="4">
        <f t="shared" si="1"/>
        <v>741.92712526796902</v>
      </c>
      <c r="AS54" s="4" cm="1">
        <f t="array" ref="AS54">_xlfn.IFS(AP54&lt;0.5,AJ54,AP54&gt;0.9,AJ54,AP54,AR54)</f>
        <v>719.27150189999998</v>
      </c>
      <c r="BE54">
        <v>2</v>
      </c>
      <c r="BJ54" s="1">
        <v>45489</v>
      </c>
      <c r="BK54" s="1">
        <v>45527</v>
      </c>
      <c r="BW54" t="s">
        <v>77</v>
      </c>
      <c r="BX54" t="s">
        <v>78</v>
      </c>
    </row>
    <row r="55" spans="1:76" x14ac:dyDescent="0.25">
      <c r="A55">
        <v>8</v>
      </c>
      <c r="B55">
        <v>5</v>
      </c>
      <c r="C55" t="s">
        <v>131</v>
      </c>
      <c r="D55">
        <v>24112</v>
      </c>
      <c r="E55">
        <v>44</v>
      </c>
      <c r="F55">
        <v>805</v>
      </c>
      <c r="G55">
        <v>40</v>
      </c>
      <c r="H55">
        <v>1</v>
      </c>
      <c r="I55">
        <v>5</v>
      </c>
      <c r="K55">
        <v>40</v>
      </c>
      <c r="L55" t="b">
        <v>0</v>
      </c>
      <c r="M55">
        <v>5</v>
      </c>
      <c r="N55" t="s">
        <v>155</v>
      </c>
      <c r="O55" t="s">
        <v>3</v>
      </c>
      <c r="P55" t="b">
        <v>0</v>
      </c>
      <c r="Q55">
        <v>2</v>
      </c>
      <c r="R55">
        <v>3</v>
      </c>
      <c r="S55">
        <v>3</v>
      </c>
      <c r="T55" t="s">
        <v>142</v>
      </c>
      <c r="Y55" t="s">
        <v>134</v>
      </c>
      <c r="Z55" t="s">
        <v>88</v>
      </c>
      <c r="AA55">
        <v>0</v>
      </c>
      <c r="AB55">
        <v>0</v>
      </c>
      <c r="AC55">
        <v>50</v>
      </c>
      <c r="AE55">
        <v>18</v>
      </c>
      <c r="AI55" s="3">
        <v>475</v>
      </c>
      <c r="AJ55" s="3">
        <v>625</v>
      </c>
      <c r="AK55" s="3">
        <v>0.53603947399999996</v>
      </c>
      <c r="AL55" s="3">
        <v>657.72620589999997</v>
      </c>
      <c r="AM55" s="3">
        <v>0.76801973700000004</v>
      </c>
      <c r="AN55" s="3">
        <v>813.78116999999997</v>
      </c>
      <c r="AO55" s="3">
        <v>625</v>
      </c>
      <c r="AP55" s="4">
        <v>0.54724764304558604</v>
      </c>
      <c r="AQ55" s="4">
        <f t="shared" si="0"/>
        <v>1142.0789252224101</v>
      </c>
      <c r="AR55" s="4">
        <f t="shared" si="1"/>
        <v>807.88618785000244</v>
      </c>
      <c r="AS55" s="4" cm="1">
        <f t="array" ref="AS55">_xlfn.IFS(AP55&lt;0.5,AJ55,AP55&gt;0.9,AJ55,AP55,AR55)</f>
        <v>807.88618785000244</v>
      </c>
      <c r="BE55">
        <v>3</v>
      </c>
      <c r="BJ55" s="1">
        <v>45490</v>
      </c>
      <c r="BK55" s="1">
        <v>45527</v>
      </c>
      <c r="BW55" t="s">
        <v>77</v>
      </c>
      <c r="BX55" t="s">
        <v>78</v>
      </c>
    </row>
    <row r="56" spans="1:76" x14ac:dyDescent="0.25">
      <c r="A56">
        <v>8</v>
      </c>
      <c r="B56">
        <v>6</v>
      </c>
      <c r="C56" t="s">
        <v>131</v>
      </c>
      <c r="D56">
        <v>24112</v>
      </c>
      <c r="E56">
        <v>43</v>
      </c>
      <c r="F56">
        <v>806</v>
      </c>
      <c r="G56">
        <v>41</v>
      </c>
      <c r="H56">
        <v>1</v>
      </c>
      <c r="I56">
        <v>6</v>
      </c>
      <c r="K56">
        <v>41</v>
      </c>
      <c r="L56" t="b">
        <v>0</v>
      </c>
      <c r="M56">
        <v>6</v>
      </c>
      <c r="N56" t="s">
        <v>156</v>
      </c>
      <c r="O56" t="s">
        <v>3</v>
      </c>
      <c r="P56" t="b">
        <v>0</v>
      </c>
      <c r="Q56">
        <v>0</v>
      </c>
      <c r="R56">
        <v>1</v>
      </c>
      <c r="S56">
        <v>3</v>
      </c>
      <c r="T56" t="s">
        <v>136</v>
      </c>
      <c r="W56" t="s">
        <v>75</v>
      </c>
      <c r="Z56" t="s">
        <v>134</v>
      </c>
      <c r="AA56">
        <v>0</v>
      </c>
      <c r="AB56">
        <v>0</v>
      </c>
      <c r="AC56">
        <v>48</v>
      </c>
      <c r="AE56">
        <v>18.100000000000001</v>
      </c>
      <c r="AI56" s="3">
        <v>902</v>
      </c>
      <c r="AJ56" s="3">
        <v>1185.3947370000001</v>
      </c>
      <c r="AK56" s="3">
        <v>0.93307148799999995</v>
      </c>
      <c r="AL56" s="3">
        <v>1228.145804</v>
      </c>
      <c r="AM56" s="3">
        <v>0.96653574399999997</v>
      </c>
      <c r="AN56" s="3">
        <v>1226.4365230000001</v>
      </c>
      <c r="AO56" s="3">
        <v>1185.3947370000001</v>
      </c>
      <c r="AP56" s="4">
        <v>0.927494375074012</v>
      </c>
      <c r="AQ56" s="4">
        <f t="shared" si="0"/>
        <v>1278.0613757419371</v>
      </c>
      <c r="AR56" s="4">
        <f t="shared" si="1"/>
        <v>1229.9851582752174</v>
      </c>
      <c r="AS56" s="4" cm="1">
        <f t="array" ref="AS56">_xlfn.IFS(AP56&lt;0.5,AJ56,AP56&gt;0.9,AJ56,AP56,AR56)</f>
        <v>1185.3947370000001</v>
      </c>
      <c r="BE56">
        <v>2</v>
      </c>
      <c r="BJ56" s="1">
        <v>45488</v>
      </c>
      <c r="BK56" s="1">
        <v>45527</v>
      </c>
      <c r="BW56" t="s">
        <v>77</v>
      </c>
      <c r="BX56" t="s">
        <v>78</v>
      </c>
    </row>
    <row r="57" spans="1:76" x14ac:dyDescent="0.25">
      <c r="A57">
        <v>8</v>
      </c>
      <c r="B57">
        <v>7</v>
      </c>
      <c r="C57" t="s">
        <v>131</v>
      </c>
      <c r="D57">
        <v>24112</v>
      </c>
      <c r="E57">
        <v>42</v>
      </c>
      <c r="F57">
        <v>807</v>
      </c>
      <c r="G57">
        <v>56</v>
      </c>
      <c r="H57">
        <v>1</v>
      </c>
      <c r="I57">
        <v>7</v>
      </c>
      <c r="K57">
        <v>56</v>
      </c>
      <c r="L57" t="b">
        <v>0</v>
      </c>
      <c r="M57">
        <v>7</v>
      </c>
      <c r="N57" t="s">
        <v>157</v>
      </c>
      <c r="O57" t="s">
        <v>3</v>
      </c>
      <c r="P57" t="b">
        <v>0</v>
      </c>
      <c r="Q57">
        <v>1</v>
      </c>
      <c r="R57">
        <v>2</v>
      </c>
      <c r="S57">
        <v>3</v>
      </c>
      <c r="T57" t="s">
        <v>133</v>
      </c>
      <c r="W57" t="s">
        <v>75</v>
      </c>
      <c r="Z57" t="s">
        <v>134</v>
      </c>
      <c r="AA57">
        <v>0</v>
      </c>
      <c r="AB57">
        <v>0</v>
      </c>
      <c r="AC57">
        <v>53</v>
      </c>
      <c r="AE57">
        <v>18.3</v>
      </c>
      <c r="AI57" s="3">
        <v>466</v>
      </c>
      <c r="AJ57" s="3">
        <v>610.91463409999994</v>
      </c>
      <c r="AK57" s="3">
        <v>0.92451672900000004</v>
      </c>
      <c r="AL57" s="3">
        <v>660.79348809999999</v>
      </c>
      <c r="AM57" s="3">
        <v>0.96225836399999998</v>
      </c>
      <c r="AN57" s="3">
        <v>634.87588849999997</v>
      </c>
      <c r="AO57" s="3">
        <v>610.91463409999994</v>
      </c>
      <c r="AP57" s="4">
        <v>0.92457027433791905</v>
      </c>
      <c r="AQ57" s="4">
        <f t="shared" si="0"/>
        <v>660.75521899887315</v>
      </c>
      <c r="AR57" s="4">
        <f t="shared" si="1"/>
        <v>634.8582249719758</v>
      </c>
      <c r="AS57" s="4" cm="1">
        <f t="array" ref="AS57">_xlfn.IFS(AP57&lt;0.5,AJ57,AP57&gt;0.9,AJ57,AP57,AR57)</f>
        <v>610.91463409999994</v>
      </c>
      <c r="BE57">
        <v>2</v>
      </c>
      <c r="BJ57" s="1">
        <v>45489</v>
      </c>
      <c r="BK57" s="1">
        <v>45526</v>
      </c>
      <c r="BW57" t="s">
        <v>77</v>
      </c>
      <c r="BX57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Mason Jackson</cp:lastModifiedBy>
  <dcterms:created xsi:type="dcterms:W3CDTF">2024-12-05T00:22:52Z</dcterms:created>
  <dcterms:modified xsi:type="dcterms:W3CDTF">2025-02-11T17:44:37Z</dcterms:modified>
</cp:coreProperties>
</file>